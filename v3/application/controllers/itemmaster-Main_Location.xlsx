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242" documentId="11_20EEED7B04EDA378DBF7B7A3D39E7C2E47A51FF5" xr6:coauthVersionLast="47" xr6:coauthVersionMax="47" xr10:uidLastSave="{EC268214-A4D6-41F1-8D56-159D6DAF07E2}"/>
  <bookViews>
    <workbookView xWindow="-108" yWindow="-108" windowWidth="23256" windowHeight="12456" xr2:uid="{00000000-000D-0000-FFFF-FFFF00000000}"/>
  </bookViews>
  <sheets>
    <sheet name="STOCK " sheetId="1" r:id="rId1"/>
    <sheet name="Sheet2" sheetId="2" r:id="rId2"/>
    <sheet name="Sheet3" sheetId="3" r:id="rId3"/>
  </sheets>
  <definedNames>
    <definedName name="_xlnm._FilterDatabase" localSheetId="0" hidden="1">'STOCK '!$C$6:$C$1283</definedName>
    <definedName name="_xlnm.Print_Titles" localSheetId="0">'STOCK 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60" i="1" l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09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849" i="1"/>
  <c r="H380" i="1"/>
  <c r="H629" i="1"/>
  <c r="H98" i="1"/>
  <c r="H804" i="1"/>
  <c r="H786" i="1"/>
  <c r="H519" i="1" l="1"/>
  <c r="H633" i="1" l="1"/>
  <c r="H664" i="1"/>
  <c r="H411" i="1" l="1"/>
  <c r="H597" i="1"/>
  <c r="H471" i="1"/>
  <c r="H350" i="1"/>
  <c r="H457" i="1" l="1"/>
  <c r="H59" i="1" l="1"/>
  <c r="H29" i="1"/>
  <c r="H516" i="1"/>
  <c r="H515" i="1"/>
  <c r="H514" i="1"/>
  <c r="H221" i="1"/>
  <c r="H320" i="1"/>
  <c r="H378" i="1" l="1"/>
  <c r="H368" i="1"/>
  <c r="H351" i="1"/>
  <c r="H345" i="1"/>
  <c r="H335" i="1" l="1"/>
  <c r="H334" i="1"/>
  <c r="H258" i="1"/>
  <c r="H257" i="1"/>
  <c r="H157" i="1"/>
  <c r="H228" i="1"/>
  <c r="H225" i="1"/>
  <c r="H214" i="1" l="1"/>
  <c r="H181" i="1" l="1"/>
  <c r="H168" i="1"/>
  <c r="H162" i="1" l="1"/>
  <c r="H156" i="1"/>
  <c r="H129" i="1"/>
  <c r="H118" i="1" l="1"/>
  <c r="H116" i="1"/>
  <c r="H108" i="1"/>
  <c r="H99" i="1"/>
  <c r="H89" i="1"/>
  <c r="H70" i="1"/>
  <c r="H64" i="1"/>
  <c r="H51" i="1"/>
  <c r="H28" i="1" l="1"/>
  <c r="H16" i="1" l="1"/>
</calcChain>
</file>

<file path=xl/sharedStrings.xml><?xml version="1.0" encoding="utf-8"?>
<sst xmlns="http://schemas.openxmlformats.org/spreadsheetml/2006/main" count="5876" uniqueCount="1616">
  <si>
    <t>Item Name</t>
  </si>
  <si>
    <t>Item Code(bar code)</t>
  </si>
  <si>
    <t>Basic Unit</t>
  </si>
  <si>
    <t>opening stock</t>
  </si>
  <si>
    <t>opeing stock rate</t>
  </si>
  <si>
    <t>sales rate</t>
  </si>
  <si>
    <t>MRP</t>
  </si>
  <si>
    <t>GST%</t>
  </si>
  <si>
    <t>W rate</t>
  </si>
  <si>
    <t>Special rate</t>
  </si>
  <si>
    <t>p rate</t>
  </si>
  <si>
    <t>landing cost</t>
  </si>
  <si>
    <t>special rate2</t>
  </si>
  <si>
    <t>SL NO</t>
  </si>
  <si>
    <t>BASKET  BALL</t>
  </si>
  <si>
    <t>PCS</t>
  </si>
  <si>
    <t>7 PCS SPIDER</t>
  </si>
  <si>
    <t>TJ-88</t>
  </si>
  <si>
    <t>PKT</t>
  </si>
  <si>
    <t>SPIDER SPINNING TOP</t>
  </si>
  <si>
    <t>210A</t>
  </si>
  <si>
    <t>CAMERA</t>
  </si>
  <si>
    <t>TJ-87</t>
  </si>
  <si>
    <t>MONKEY</t>
  </si>
  <si>
    <t>STETHOSCOPE</t>
  </si>
  <si>
    <t>LIGHT PANDA M</t>
  </si>
  <si>
    <t>LIGHT TOY MIX</t>
  </si>
  <si>
    <t>LIGHT PLANE</t>
  </si>
  <si>
    <t>2012B</t>
  </si>
  <si>
    <t>PISTOL</t>
  </si>
  <si>
    <t>CAR</t>
  </si>
  <si>
    <t>139-06</t>
  </si>
  <si>
    <t>SPRAY PAINT CAR</t>
  </si>
  <si>
    <t>757-45B</t>
  </si>
  <si>
    <t>KILUKKAM(YELLOW)</t>
  </si>
  <si>
    <t>LM-2202</t>
  </si>
  <si>
    <t>MOTORCYCLE</t>
  </si>
  <si>
    <t>PYRAMID CUBE</t>
  </si>
  <si>
    <t>SPINNER S</t>
  </si>
  <si>
    <t>MIRROR CUBE</t>
  </si>
  <si>
    <t>CP-520</t>
  </si>
  <si>
    <t>PULL BACK SPIDER</t>
  </si>
  <si>
    <t>TJ-89</t>
  </si>
  <si>
    <t>THAR JEEP</t>
  </si>
  <si>
    <t>MD-921</t>
  </si>
  <si>
    <t>WINDING DRUM(MIX)</t>
  </si>
  <si>
    <t>2228-16</t>
  </si>
  <si>
    <t>B/O AK 47</t>
  </si>
  <si>
    <t>MB-3047</t>
  </si>
  <si>
    <t>ENGINEERING VEHICLE</t>
  </si>
  <si>
    <t>ZHJ-389</t>
  </si>
  <si>
    <t>WATER GAME</t>
  </si>
  <si>
    <t>YXD68K</t>
  </si>
  <si>
    <t>CAT PHONE</t>
  </si>
  <si>
    <t>KT-6</t>
  </si>
  <si>
    <t>STUNT CAR</t>
  </si>
  <si>
    <t>8002A</t>
  </si>
  <si>
    <t>DUMPER</t>
  </si>
  <si>
    <t>LM-F051</t>
  </si>
  <si>
    <t>BEACH BUCKET S</t>
  </si>
  <si>
    <t>BEACH BUCKET B</t>
  </si>
  <si>
    <t>ANIMAL GUN</t>
  </si>
  <si>
    <t>HOTWHEELS</t>
  </si>
  <si>
    <t>501-1Z</t>
  </si>
  <si>
    <t>JCB</t>
  </si>
  <si>
    <t>896-8</t>
  </si>
  <si>
    <t>DUMPER BIG</t>
  </si>
  <si>
    <t>6005-1</t>
  </si>
  <si>
    <t>METAL SPINNER S</t>
  </si>
  <si>
    <t>TJ-82</t>
  </si>
  <si>
    <t>ROLL CAR</t>
  </si>
  <si>
    <t>0004</t>
  </si>
  <si>
    <t>HULA HOOP</t>
  </si>
  <si>
    <t>022025</t>
  </si>
  <si>
    <t>B/O GUN</t>
  </si>
  <si>
    <t>001G</t>
  </si>
  <si>
    <t>A250</t>
  </si>
  <si>
    <t>CANDY CORNER</t>
  </si>
  <si>
    <t>CRICKET SET</t>
  </si>
  <si>
    <t>CS13</t>
  </si>
  <si>
    <t>FRIC CRANE</t>
  </si>
  <si>
    <t>6008-1</t>
  </si>
  <si>
    <t>IRON MAN MASK</t>
  </si>
  <si>
    <t>WIND FISH</t>
  </si>
  <si>
    <t>SPIDER MASK</t>
  </si>
  <si>
    <t>66A</t>
  </si>
  <si>
    <t>ANIMAL SET(8 PCS)</t>
  </si>
  <si>
    <t>F8-1</t>
  </si>
  <si>
    <t>GT-500</t>
  </si>
  <si>
    <t>CLIMBER CAR</t>
  </si>
  <si>
    <t>NO 98</t>
  </si>
  <si>
    <t>WILD ANIMAL</t>
  </si>
  <si>
    <t>CP-547</t>
  </si>
  <si>
    <t>6 PCS CAR</t>
  </si>
  <si>
    <t>BT-1355H</t>
  </si>
  <si>
    <t>SNAKE</t>
  </si>
  <si>
    <t>CP-255</t>
  </si>
  <si>
    <t xml:space="preserve">METAL SPINNER </t>
  </si>
  <si>
    <t>ST-204</t>
  </si>
  <si>
    <t>MD0099-1</t>
  </si>
  <si>
    <t>PUFFER BALL</t>
  </si>
  <si>
    <t>LIGHT BALL</t>
  </si>
  <si>
    <t>SPIDER GLOVE</t>
  </si>
  <si>
    <t>JUNGLE ANIMAL</t>
  </si>
  <si>
    <t>CP-549</t>
  </si>
  <si>
    <t>WORLD ANIMAL</t>
  </si>
  <si>
    <t>2 PCS CUBE</t>
  </si>
  <si>
    <t>828-5</t>
  </si>
  <si>
    <t>ANIMAL BOTTLE</t>
  </si>
  <si>
    <t>AMBULANCE</t>
  </si>
  <si>
    <t>LM-249</t>
  </si>
  <si>
    <t>SUPER SCOOTER</t>
  </si>
  <si>
    <t>876-2</t>
  </si>
  <si>
    <t>PULL BACK KITTY</t>
  </si>
  <si>
    <t>668-1</t>
  </si>
  <si>
    <t>SUPER TRUCK</t>
  </si>
  <si>
    <t>MU-2008</t>
  </si>
  <si>
    <t>DOG</t>
  </si>
  <si>
    <t>SPINNER</t>
  </si>
  <si>
    <t>TJ-81</t>
  </si>
  <si>
    <t>LOOPY HOOP</t>
  </si>
  <si>
    <t>ROLL BALL(3)</t>
  </si>
  <si>
    <t>BIKE</t>
  </si>
  <si>
    <t>998-9A</t>
  </si>
  <si>
    <t>PAINTING KIT</t>
  </si>
  <si>
    <t>CP-551</t>
  </si>
  <si>
    <t>LIGHT SCOOTER</t>
  </si>
  <si>
    <t>CP-550</t>
  </si>
  <si>
    <t>JKF-2512</t>
  </si>
  <si>
    <t>SPINNER B</t>
  </si>
  <si>
    <t>CP-568</t>
  </si>
  <si>
    <t>TEDDY RING B</t>
  </si>
  <si>
    <t>JH007B</t>
  </si>
  <si>
    <t>LM-213</t>
  </si>
  <si>
    <t>6 PCS METAL</t>
  </si>
  <si>
    <t>123-3G</t>
  </si>
  <si>
    <t>TEDDY RING M</t>
  </si>
  <si>
    <t>JH006M</t>
  </si>
  <si>
    <t>TEDDY RING S</t>
  </si>
  <si>
    <t>JH005S</t>
  </si>
  <si>
    <t>FRUIT SET</t>
  </si>
  <si>
    <t>UE-533</t>
  </si>
  <si>
    <t>ANIMAL MASK</t>
  </si>
  <si>
    <t>2 PCS METAL CAR</t>
  </si>
  <si>
    <t>803-1</t>
  </si>
  <si>
    <t>SPIN TOP</t>
  </si>
  <si>
    <t>6169-D</t>
  </si>
  <si>
    <t>WORLD ANIMAL 8PCS</t>
  </si>
  <si>
    <t>VEG SET</t>
  </si>
  <si>
    <t>TRACTOR</t>
  </si>
  <si>
    <t>9975A</t>
  </si>
  <si>
    <t>2 PCS HOTWHEELS</t>
  </si>
  <si>
    <t>HW-1</t>
  </si>
  <si>
    <t>RATTLE</t>
  </si>
  <si>
    <t>875-4</t>
  </si>
  <si>
    <t>PULL LINE DUCK</t>
  </si>
  <si>
    <t>7708-9A</t>
  </si>
  <si>
    <t>HP-594</t>
  </si>
  <si>
    <t>JH003S</t>
  </si>
  <si>
    <t>PUSHPA BIKE</t>
  </si>
  <si>
    <t>135CC</t>
  </si>
  <si>
    <t>SOUND CAT</t>
  </si>
  <si>
    <t>CP-504</t>
  </si>
  <si>
    <t>ROBOT</t>
  </si>
  <si>
    <t>GUN</t>
  </si>
  <si>
    <t>258B-12</t>
  </si>
  <si>
    <t>3 PCS SOLDIER</t>
  </si>
  <si>
    <t>S1819-05</t>
  </si>
  <si>
    <t>MIXER</t>
  </si>
  <si>
    <t>LM-F052</t>
  </si>
  <si>
    <t>876-3</t>
  </si>
  <si>
    <t>BUS</t>
  </si>
  <si>
    <t>LM-8006FR</t>
  </si>
  <si>
    <t>MILITARY VAN</t>
  </si>
  <si>
    <t>LM-224</t>
  </si>
  <si>
    <t>HOT MOKA</t>
  </si>
  <si>
    <t>CP-560</t>
  </si>
  <si>
    <t>AUTO</t>
  </si>
  <si>
    <t>8005D</t>
  </si>
  <si>
    <t>DOG TOY</t>
  </si>
  <si>
    <t>LM-301D</t>
  </si>
  <si>
    <t>LM-8005J</t>
  </si>
  <si>
    <t>LM-8005M</t>
  </si>
  <si>
    <t>TANKER</t>
  </si>
  <si>
    <t>LM-8005T</t>
  </si>
  <si>
    <t>CAMEL</t>
  </si>
  <si>
    <t>H-5116</t>
  </si>
  <si>
    <t>MD-8888</t>
  </si>
  <si>
    <t>JEEP</t>
  </si>
  <si>
    <t>LM-205</t>
  </si>
  <si>
    <t>FRY PAN</t>
  </si>
  <si>
    <t>930-16</t>
  </si>
  <si>
    <t>CAPTAIN MASK</t>
  </si>
  <si>
    <t>HITACHI</t>
  </si>
  <si>
    <t>877-1</t>
  </si>
  <si>
    <t>LM-216</t>
  </si>
  <si>
    <t>LADY SCOOTY</t>
  </si>
  <si>
    <t>LM-218</t>
  </si>
  <si>
    <t>VINTAGE CAR</t>
  </si>
  <si>
    <t>595-28</t>
  </si>
  <si>
    <t>STEEL KITCHEN</t>
  </si>
  <si>
    <t>MD-8000</t>
  </si>
  <si>
    <t>FAN BEAUTY SET</t>
  </si>
  <si>
    <t>2073A</t>
  </si>
  <si>
    <t>MRJR01</t>
  </si>
  <si>
    <t>TOOL KIT</t>
  </si>
  <si>
    <t>639-11</t>
  </si>
  <si>
    <t>FRUIT FAN</t>
  </si>
  <si>
    <t>BOX</t>
  </si>
  <si>
    <t>6 PCS TRUCK</t>
  </si>
  <si>
    <t>LM-627</t>
  </si>
  <si>
    <t>LM-245</t>
  </si>
  <si>
    <t>TRUCK</t>
  </si>
  <si>
    <t>4 PCS TRUCK</t>
  </si>
  <si>
    <t>LM-624</t>
  </si>
  <si>
    <t>017</t>
  </si>
  <si>
    <t>DOCTOR SET</t>
  </si>
  <si>
    <t>SPV-045</t>
  </si>
  <si>
    <t>JK-009</t>
  </si>
  <si>
    <t>ZOOBIC JEEP</t>
  </si>
  <si>
    <t>JP025</t>
  </si>
  <si>
    <t>TERRAIN VEHICLE</t>
  </si>
  <si>
    <t>MD-4096</t>
  </si>
  <si>
    <t>ROLL BALL(4)</t>
  </si>
  <si>
    <t>RB-4</t>
  </si>
  <si>
    <t>RB-3</t>
  </si>
  <si>
    <t>SMALL PICKUP</t>
  </si>
  <si>
    <t>630-11</t>
  </si>
  <si>
    <t>CITY TRUCK</t>
  </si>
  <si>
    <t>G067</t>
  </si>
  <si>
    <t>STIC BIRD</t>
  </si>
  <si>
    <t>LM-308P</t>
  </si>
  <si>
    <t>COVID-19</t>
  </si>
  <si>
    <t>FRUIT CUT</t>
  </si>
  <si>
    <t>LM-408</t>
  </si>
  <si>
    <t>MILITARY TRUCK</t>
  </si>
  <si>
    <t>LM-270</t>
  </si>
  <si>
    <t>TRANSFORMERS</t>
  </si>
  <si>
    <t>G3750-1</t>
  </si>
  <si>
    <t>HAPPY CARGO</t>
  </si>
  <si>
    <t>H-5104</t>
  </si>
  <si>
    <t>3D YOYO</t>
  </si>
  <si>
    <t>PULL LINE HEN</t>
  </si>
  <si>
    <t>7708-8A</t>
  </si>
  <si>
    <t>STIC ELEPHANT</t>
  </si>
  <si>
    <t>LM-307E</t>
  </si>
  <si>
    <t>TORTOISE</t>
  </si>
  <si>
    <t>MD7988-3</t>
  </si>
  <si>
    <t>STIC HORSE</t>
  </si>
  <si>
    <t>LM-306H</t>
  </si>
  <si>
    <t>BABY</t>
  </si>
  <si>
    <t>LM-257</t>
  </si>
  <si>
    <t>LM-258</t>
  </si>
  <si>
    <t>ANIMAL RATTLE</t>
  </si>
  <si>
    <t>XY889-8</t>
  </si>
  <si>
    <t>SPIDER GUN</t>
  </si>
  <si>
    <t>B/O ROBOT</t>
  </si>
  <si>
    <t>575-130A</t>
  </si>
  <si>
    <t>MU-1984</t>
  </si>
  <si>
    <t>STIC PLANE</t>
  </si>
  <si>
    <t>LM-310</t>
  </si>
  <si>
    <t>2024-A286</t>
  </si>
  <si>
    <t>BEAUTY SET</t>
  </si>
  <si>
    <t>STAND PIANO</t>
  </si>
  <si>
    <t>6808-37</t>
  </si>
  <si>
    <t>DOLL CART</t>
  </si>
  <si>
    <t>668-1A</t>
  </si>
  <si>
    <t>PULL CRAB</t>
  </si>
  <si>
    <t>CP-428</t>
  </si>
  <si>
    <t>6 PCS AVENGER RATTLE</t>
  </si>
  <si>
    <t>6868-22</t>
  </si>
  <si>
    <t>PHONE WATCH</t>
  </si>
  <si>
    <t>080</t>
  </si>
  <si>
    <t>HITACHI BIG</t>
  </si>
  <si>
    <t>135-3</t>
  </si>
  <si>
    <t>LADY SCOOTER</t>
  </si>
  <si>
    <t>1210-S</t>
  </si>
  <si>
    <t>GUITAR</t>
  </si>
  <si>
    <t>YY09-3</t>
  </si>
  <si>
    <t>PLANE</t>
  </si>
  <si>
    <t>LM-8008FR</t>
  </si>
  <si>
    <t>B/O PLANE</t>
  </si>
  <si>
    <t>MD1808</t>
  </si>
  <si>
    <t>AQUA</t>
  </si>
  <si>
    <t>FIST TOY</t>
  </si>
  <si>
    <t>6 PCS AVENGERS</t>
  </si>
  <si>
    <t>TJ-90</t>
  </si>
  <si>
    <t>PUZZLE</t>
  </si>
  <si>
    <t>8623-18</t>
  </si>
  <si>
    <t>CP-714</t>
  </si>
  <si>
    <t>FIRE TRUCK</t>
  </si>
  <si>
    <t>109A</t>
  </si>
  <si>
    <t>ROLL BALL 2 SET(4)</t>
  </si>
  <si>
    <t>RB2-4</t>
  </si>
  <si>
    <t>ROLL BALL 2 SET(3)</t>
  </si>
  <si>
    <t>RB2-3</t>
  </si>
  <si>
    <t>LM-1021</t>
  </si>
  <si>
    <t>PHONE</t>
  </si>
  <si>
    <t>CP-712</t>
  </si>
  <si>
    <t>12 PCS RATTLE</t>
  </si>
  <si>
    <t>668A</t>
  </si>
  <si>
    <t>ARMY SET</t>
  </si>
  <si>
    <t>EJECTION VEHICLE</t>
  </si>
  <si>
    <t>596-26</t>
  </si>
  <si>
    <t>SKATING SPIDER</t>
  </si>
  <si>
    <t>0138-36</t>
  </si>
  <si>
    <t>SIMULATION CAR MODEL</t>
  </si>
  <si>
    <t>399-268A4</t>
  </si>
  <si>
    <t>4X4 MIX VEHICLE</t>
  </si>
  <si>
    <t>SCHOOL BUS</t>
  </si>
  <si>
    <t>HY-08</t>
  </si>
  <si>
    <t>SUPER CAR</t>
  </si>
  <si>
    <t>MB-3013</t>
  </si>
  <si>
    <t>HELICOPTER</t>
  </si>
  <si>
    <t>MU-1874</t>
  </si>
  <si>
    <t>302D</t>
  </si>
  <si>
    <t>EYE GLASS</t>
  </si>
  <si>
    <t>664E-2</t>
  </si>
  <si>
    <t>BIRD</t>
  </si>
  <si>
    <t>PW-1</t>
  </si>
  <si>
    <t>SPINNER(RUBBER)</t>
  </si>
  <si>
    <t>BARBIE PHONE</t>
  </si>
  <si>
    <t>3697AB</t>
  </si>
  <si>
    <t>LIGHT GUN</t>
  </si>
  <si>
    <t>2023-2</t>
  </si>
  <si>
    <t>SCOOTER</t>
  </si>
  <si>
    <t>F0381</t>
  </si>
  <si>
    <t>WATER GUN</t>
  </si>
  <si>
    <t>KT508-1</t>
  </si>
  <si>
    <t>B281</t>
  </si>
  <si>
    <t>DUCK SOLAR</t>
  </si>
  <si>
    <t>MB-3030</t>
  </si>
  <si>
    <t>CAR BIG</t>
  </si>
  <si>
    <t>2 PCS CAR</t>
  </si>
  <si>
    <t>MB-3036</t>
  </si>
  <si>
    <t>CP-574</t>
  </si>
  <si>
    <t>XYLOPHONE</t>
  </si>
  <si>
    <t>LADY SCOOTER DOUBLE</t>
  </si>
  <si>
    <t>1210SS</t>
  </si>
  <si>
    <t>HY-20</t>
  </si>
  <si>
    <t>4X4X4 CUBE</t>
  </si>
  <si>
    <t>MF-8826</t>
  </si>
  <si>
    <t>LM-252</t>
  </si>
  <si>
    <t>SPIDER WRIST WATER GUN</t>
  </si>
  <si>
    <t>8830-1</t>
  </si>
  <si>
    <t>LAND PHONE</t>
  </si>
  <si>
    <t>JH161-2</t>
  </si>
  <si>
    <t>SMALL DUMPER</t>
  </si>
  <si>
    <t>LM-101D</t>
  </si>
  <si>
    <t>JK-24</t>
  </si>
  <si>
    <t>SHOCK GUN</t>
  </si>
  <si>
    <t>SHOCK PEN</t>
  </si>
  <si>
    <t>KEYCHAIN</t>
  </si>
  <si>
    <t>CP-620</t>
  </si>
  <si>
    <t>LIGHT YOYO</t>
  </si>
  <si>
    <t>188-361</t>
  </si>
  <si>
    <t>MILITARY PICKUP</t>
  </si>
  <si>
    <t>LM-272</t>
  </si>
  <si>
    <t>POLICE VAN</t>
  </si>
  <si>
    <t>LM-248</t>
  </si>
  <si>
    <t>666Y-19</t>
  </si>
  <si>
    <t>LM-F021</t>
  </si>
  <si>
    <t>FIRE ENGINE</t>
  </si>
  <si>
    <t>MINNIE PHONE</t>
  </si>
  <si>
    <t>B82</t>
  </si>
  <si>
    <t>BASKET BABY</t>
  </si>
  <si>
    <t>ABC</t>
  </si>
  <si>
    <t>ARROW</t>
  </si>
  <si>
    <t>WX907</t>
  </si>
  <si>
    <t>RUBBER BAND GUN</t>
  </si>
  <si>
    <t>7800-2</t>
  </si>
  <si>
    <t>SHUTTLE BAT</t>
  </si>
  <si>
    <t>026</t>
  </si>
  <si>
    <t>MAGNET GYRO</t>
  </si>
  <si>
    <t>KT-4020</t>
  </si>
  <si>
    <t>MUTH GUN</t>
  </si>
  <si>
    <t>TESLA CAR</t>
  </si>
  <si>
    <t>TCX797</t>
  </si>
  <si>
    <t>MUTH GUN S</t>
  </si>
  <si>
    <t>750-25</t>
  </si>
  <si>
    <t>SWAT GUN</t>
  </si>
  <si>
    <t>8801C-05</t>
  </si>
  <si>
    <t>SPIDER BIKE</t>
  </si>
  <si>
    <t>2389B</t>
  </si>
  <si>
    <t>P0181</t>
  </si>
  <si>
    <t>399-16</t>
  </si>
  <si>
    <t>HAND TOY</t>
  </si>
  <si>
    <t>0026</t>
  </si>
  <si>
    <t>YOYO</t>
  </si>
  <si>
    <t>778-2</t>
  </si>
  <si>
    <t>WINDING ELEPHANT</t>
  </si>
  <si>
    <t>333-14</t>
  </si>
  <si>
    <t>WARRIOR STUNT CAR</t>
  </si>
  <si>
    <t>958-1</t>
  </si>
  <si>
    <t>SAXOPHONE</t>
  </si>
  <si>
    <t>BUTTERFLY RATTLE</t>
  </si>
  <si>
    <t>012-1</t>
  </si>
  <si>
    <t>DUCK P P</t>
  </si>
  <si>
    <t>014</t>
  </si>
  <si>
    <t>HY-11B</t>
  </si>
  <si>
    <t>WIND OWL</t>
  </si>
  <si>
    <t>BJ-13</t>
  </si>
  <si>
    <t>BINOCULAR</t>
  </si>
  <si>
    <t>888A</t>
  </si>
  <si>
    <t>WIND HEN</t>
  </si>
  <si>
    <t>BJ-02</t>
  </si>
  <si>
    <t>NARUTO BOX</t>
  </si>
  <si>
    <t>HAMMER P P</t>
  </si>
  <si>
    <t>318-F</t>
  </si>
  <si>
    <t>WIND FROG</t>
  </si>
  <si>
    <t>BJ-15</t>
  </si>
  <si>
    <t>2D GAME</t>
  </si>
  <si>
    <t>WIND DUCK</t>
  </si>
  <si>
    <t>TJ-85</t>
  </si>
  <si>
    <t>LM-223</t>
  </si>
  <si>
    <t>LM-283</t>
  </si>
  <si>
    <t>ANIMAL PKT</t>
  </si>
  <si>
    <t>CP-546</t>
  </si>
  <si>
    <t xml:space="preserve">BARBIE </t>
  </si>
  <si>
    <t>ARMY TRUCK</t>
  </si>
  <si>
    <t>LM-271</t>
  </si>
  <si>
    <t>WIND LAMP</t>
  </si>
  <si>
    <t>2099-5</t>
  </si>
  <si>
    <t>LM-200</t>
  </si>
  <si>
    <t>RANGE ROVER</t>
  </si>
  <si>
    <t>AK-47 GUN</t>
  </si>
  <si>
    <t>AK47</t>
  </si>
  <si>
    <t>DAFLI</t>
  </si>
  <si>
    <t>LAPTOP GAME</t>
  </si>
  <si>
    <t>JK-9850M</t>
  </si>
  <si>
    <t>MD9800</t>
  </si>
  <si>
    <t>953-002</t>
  </si>
  <si>
    <t>SKATING SPIDER(IND)</t>
  </si>
  <si>
    <t>CLACKERS</t>
  </si>
  <si>
    <t>CP-394</t>
  </si>
  <si>
    <t>099-48</t>
  </si>
  <si>
    <t>SPIDER FAN</t>
  </si>
  <si>
    <t>3209-B1</t>
  </si>
  <si>
    <t>FLOWER SOLAR</t>
  </si>
  <si>
    <t>CP-110</t>
  </si>
  <si>
    <t>STIC BUTTERFLY</t>
  </si>
  <si>
    <t>223CD</t>
  </si>
  <si>
    <t>FIRE RESCUE</t>
  </si>
  <si>
    <t>881B-9</t>
  </si>
  <si>
    <t>SUPER TANKER</t>
  </si>
  <si>
    <t>H5102</t>
  </si>
  <si>
    <t>FAN 2 SPEED</t>
  </si>
  <si>
    <t>933-158A</t>
  </si>
  <si>
    <t>RAINBOW BALL</t>
  </si>
  <si>
    <t>MY-8722</t>
  </si>
  <si>
    <t>SPINNER CUBE</t>
  </si>
  <si>
    <t>FX-7710</t>
  </si>
  <si>
    <t>FAN 3 SPEED</t>
  </si>
  <si>
    <t>888-3</t>
  </si>
  <si>
    <t>SOLAR RING</t>
  </si>
  <si>
    <t>CP-77</t>
  </si>
  <si>
    <t>CP-235</t>
  </si>
  <si>
    <t>JCB BIG</t>
  </si>
  <si>
    <t>007</t>
  </si>
  <si>
    <t>DUCK</t>
  </si>
  <si>
    <t>LM-279</t>
  </si>
  <si>
    <t>KITTY PIANO</t>
  </si>
  <si>
    <t>899-1</t>
  </si>
  <si>
    <t>BOAT</t>
  </si>
  <si>
    <t>733-2</t>
  </si>
  <si>
    <t>LIGHT PANDA(MIX)</t>
  </si>
  <si>
    <t>METAL YOYO</t>
  </si>
  <si>
    <t>KT-4007</t>
  </si>
  <si>
    <t>CATCHER</t>
  </si>
  <si>
    <t>AVENGERS FLYWHEEL</t>
  </si>
  <si>
    <t>LK-3096</t>
  </si>
  <si>
    <t>LIGHT HELICOPTER</t>
  </si>
  <si>
    <t>TJ-11A</t>
  </si>
  <si>
    <t>LIGHT SPIDER</t>
  </si>
  <si>
    <t>683A</t>
  </si>
  <si>
    <t>2 PCS BUS</t>
  </si>
  <si>
    <t>RATTLE SET</t>
  </si>
  <si>
    <t>MU-9894</t>
  </si>
  <si>
    <t>LCD TAB</t>
  </si>
  <si>
    <t>BB-8801C</t>
  </si>
  <si>
    <t>B/O TRAIN</t>
  </si>
  <si>
    <t>POPIT</t>
  </si>
  <si>
    <t>AVENGERS GUN</t>
  </si>
  <si>
    <t>A70</t>
  </si>
  <si>
    <t>PEN LAZER</t>
  </si>
  <si>
    <t>8813-30</t>
  </si>
  <si>
    <t>ROPE SPIDER</t>
  </si>
  <si>
    <t>9801-1</t>
  </si>
  <si>
    <t>DR SET</t>
  </si>
  <si>
    <t>BATTERY</t>
  </si>
  <si>
    <t>668-25</t>
  </si>
  <si>
    <t>LM-273</t>
  </si>
  <si>
    <t>PIANO</t>
  </si>
  <si>
    <t>LM-123-15C</t>
  </si>
  <si>
    <t>CROCODILE</t>
  </si>
  <si>
    <t>NIPPO BATTERY</t>
  </si>
  <si>
    <t>BUBBLE MACHINE</t>
  </si>
  <si>
    <t>WPT-27</t>
  </si>
  <si>
    <t>WIND BIRD</t>
  </si>
  <si>
    <t>2 PCS WATER GUN</t>
  </si>
  <si>
    <t>728-2</t>
  </si>
  <si>
    <t>DIE CAST CAR</t>
  </si>
  <si>
    <t>ZY760-15X</t>
  </si>
  <si>
    <t>D-51</t>
  </si>
  <si>
    <t>NARUTO CARD</t>
  </si>
  <si>
    <t>DR PLAY SET</t>
  </si>
  <si>
    <t>RAIN COAT</t>
  </si>
  <si>
    <t>H709</t>
  </si>
  <si>
    <t>2 PCS TRUCK</t>
  </si>
  <si>
    <t>882-2</t>
  </si>
  <si>
    <t>LIGHT HAIR BAND</t>
  </si>
  <si>
    <t>SKATING BOY</t>
  </si>
  <si>
    <t>UMBRELLA COLOR</t>
  </si>
  <si>
    <t>LMI-123-6C</t>
  </si>
  <si>
    <t>PURAM MAANTHI</t>
  </si>
  <si>
    <t>KWIK CRICKET SET</t>
  </si>
  <si>
    <t>DRAWING APRON</t>
  </si>
  <si>
    <t>WC-02</t>
  </si>
  <si>
    <t>JCB TRUCK</t>
  </si>
  <si>
    <t>MD210-2A</t>
  </si>
  <si>
    <t>ALLOY BIKE</t>
  </si>
  <si>
    <t>M8848-012</t>
  </si>
  <si>
    <t>HORSE TOY</t>
  </si>
  <si>
    <t>HEAD SET</t>
  </si>
  <si>
    <t>FIGHTER JET</t>
  </si>
  <si>
    <t>MD-3088</t>
  </si>
  <si>
    <t>BATMAN ALLOY CAR</t>
  </si>
  <si>
    <t>888-30</t>
  </si>
  <si>
    <t>RACING CAR</t>
  </si>
  <si>
    <t>9811-60</t>
  </si>
  <si>
    <t>METAL PICKUP</t>
  </si>
  <si>
    <t>4351-C</t>
  </si>
  <si>
    <t>3 PCS BALL</t>
  </si>
  <si>
    <t>CP-351</t>
  </si>
  <si>
    <t>LMI-A6802</t>
  </si>
  <si>
    <t>DIE CAST CAR MIX</t>
  </si>
  <si>
    <t>LMI-A6809S</t>
  </si>
  <si>
    <t>SY713-15N</t>
  </si>
  <si>
    <t>210-11</t>
  </si>
  <si>
    <t>SY686B</t>
  </si>
  <si>
    <t>HAPPY PLANE</t>
  </si>
  <si>
    <t>MOTOR BIKE</t>
  </si>
  <si>
    <t>HEADPUSH PENGUIN</t>
  </si>
  <si>
    <t>X025-8C</t>
  </si>
  <si>
    <t>HEN</t>
  </si>
  <si>
    <t>KW-816</t>
  </si>
  <si>
    <t>LIGHT PANDA</t>
  </si>
  <si>
    <t>YH-608</t>
  </si>
  <si>
    <t>BARBIE</t>
  </si>
  <si>
    <t>LABUBU</t>
  </si>
  <si>
    <t>NAIL CUTTER</t>
  </si>
  <si>
    <t>NC-29F</t>
  </si>
  <si>
    <t>MAGNET MAZE</t>
  </si>
  <si>
    <t>SPV-049</t>
  </si>
  <si>
    <t>AIR ITEM(MIX)</t>
  </si>
  <si>
    <t>909A</t>
  </si>
  <si>
    <t>789-3A</t>
  </si>
  <si>
    <t>FISH STUNT CAR</t>
  </si>
  <si>
    <t>8001A</t>
  </si>
  <si>
    <t>NET BALL</t>
  </si>
  <si>
    <t>BASKET BALL</t>
  </si>
  <si>
    <t>CP-393</t>
  </si>
  <si>
    <t>FLYING SPIDER</t>
  </si>
  <si>
    <t>STAMP</t>
  </si>
  <si>
    <t>MAZE GAME</t>
  </si>
  <si>
    <t>7567-4C</t>
  </si>
  <si>
    <t>COSMETIC CROWN</t>
  </si>
  <si>
    <t>CZJ-8015</t>
  </si>
  <si>
    <t>COSMETIC SUIT</t>
  </si>
  <si>
    <t>ZFO882</t>
  </si>
  <si>
    <t>SLIME</t>
  </si>
  <si>
    <t>JE-999</t>
  </si>
  <si>
    <t>SLIME MIX</t>
  </si>
  <si>
    <t>SMALL FOOTBALL</t>
  </si>
  <si>
    <t>CP-618</t>
  </si>
  <si>
    <t>LUMO JCB TRUCK</t>
  </si>
  <si>
    <t>LM-F047</t>
  </si>
  <si>
    <t>CYCLE PUMP</t>
  </si>
  <si>
    <t>ROAD ROLLER</t>
  </si>
  <si>
    <t>A35</t>
  </si>
  <si>
    <t>LASER</t>
  </si>
  <si>
    <t>LABUBU COLA</t>
  </si>
  <si>
    <t>COKE</t>
  </si>
  <si>
    <t>LMI-A6805(12)</t>
  </si>
  <si>
    <t>PENCIL BOX</t>
  </si>
  <si>
    <t>TH-9</t>
  </si>
  <si>
    <t>BOT</t>
  </si>
  <si>
    <t>MAGNET</t>
  </si>
  <si>
    <t>XQ6-605</t>
  </si>
  <si>
    <t>STAR MONEY BANK</t>
  </si>
  <si>
    <t>RAINBOW SPRING</t>
  </si>
  <si>
    <t>1068-A1</t>
  </si>
  <si>
    <t>TH-4</t>
  </si>
  <si>
    <t>DIE CAST METAL</t>
  </si>
  <si>
    <t>MI66-B05</t>
  </si>
  <si>
    <t>METAL CAR</t>
  </si>
  <si>
    <t>4332C</t>
  </si>
  <si>
    <t>MONEY BANK POKEMON</t>
  </si>
  <si>
    <t>QZ627B</t>
  </si>
  <si>
    <t>LASER LAMP</t>
  </si>
  <si>
    <t>3D HD</t>
  </si>
  <si>
    <t>DINOSAUR PHONE</t>
  </si>
  <si>
    <t>LMI-LB804</t>
  </si>
  <si>
    <t>836D-009</t>
  </si>
  <si>
    <t>ALLOY FIRE RESCUE</t>
  </si>
  <si>
    <t>ALLOY POLICE CAR</t>
  </si>
  <si>
    <t>836D-010</t>
  </si>
  <si>
    <t>CP-557</t>
  </si>
  <si>
    <t>DEFENDER</t>
  </si>
  <si>
    <t>BHX-801</t>
  </si>
  <si>
    <t>WINDING INSECTS</t>
  </si>
  <si>
    <t>2025-32</t>
  </si>
  <si>
    <t>CYCLE</t>
  </si>
  <si>
    <t>2877-5B</t>
  </si>
  <si>
    <t>MD-BHX807</t>
  </si>
  <si>
    <t>2877-3B</t>
  </si>
  <si>
    <t>LY2226-A6</t>
  </si>
  <si>
    <t>METAL AUTO</t>
  </si>
  <si>
    <t>LMI-1995BK</t>
  </si>
  <si>
    <t>FRIC DUCK</t>
  </si>
  <si>
    <t>MD-7711</t>
  </si>
  <si>
    <t>696-30</t>
  </si>
  <si>
    <t>DUCK SCOOTER</t>
  </si>
  <si>
    <t>SMOKE CAR</t>
  </si>
  <si>
    <t>DINOSAUR GUN</t>
  </si>
  <si>
    <t>399-666D12</t>
  </si>
  <si>
    <t>PULL UNICORN</t>
  </si>
  <si>
    <t>LY2226-A5</t>
  </si>
  <si>
    <t>850-12</t>
  </si>
  <si>
    <t>LM-2021-5</t>
  </si>
  <si>
    <t>26789D</t>
  </si>
  <si>
    <t>CLAY</t>
  </si>
  <si>
    <t>TJ-28</t>
  </si>
  <si>
    <t>TJ-29</t>
  </si>
  <si>
    <t>SPIDER CAR</t>
  </si>
  <si>
    <t>789-26F</t>
  </si>
  <si>
    <t>CLIMB OVER CAR</t>
  </si>
  <si>
    <t>LMI-4488G</t>
  </si>
  <si>
    <t>AVENGERS</t>
  </si>
  <si>
    <t>DT008-1</t>
  </si>
  <si>
    <t>STUNT TANK</t>
  </si>
  <si>
    <t>SWING DINOSAUR</t>
  </si>
  <si>
    <t>HT-056</t>
  </si>
  <si>
    <t>25 PCS CAR SET</t>
  </si>
  <si>
    <t>MUSIC PHONE</t>
  </si>
  <si>
    <t>2024-1</t>
  </si>
  <si>
    <t>GAS TRUCK</t>
  </si>
  <si>
    <t>011</t>
  </si>
  <si>
    <t>888-10</t>
  </si>
  <si>
    <t>POLICE CAR</t>
  </si>
  <si>
    <t>BQ600-18</t>
  </si>
  <si>
    <t>HEAD PUSH KUROMI</t>
  </si>
  <si>
    <t>TEDDY BEAR</t>
  </si>
  <si>
    <t>DOLL</t>
  </si>
  <si>
    <t>RABBIT DOLL B</t>
  </si>
  <si>
    <t>TEDDY BEAR B</t>
  </si>
  <si>
    <t>BULL DOG</t>
  </si>
  <si>
    <t>HC-239</t>
  </si>
  <si>
    <t>TJ-26</t>
  </si>
  <si>
    <t>SMILY LIGHT</t>
  </si>
  <si>
    <t>CP-535</t>
  </si>
  <si>
    <t>MINI AIRCRAFT</t>
  </si>
  <si>
    <t>111-432B</t>
  </si>
  <si>
    <t>0783-346</t>
  </si>
  <si>
    <t>ALLOY DEFENDER</t>
  </si>
  <si>
    <t>A780-23</t>
  </si>
  <si>
    <t>CAT DOUBLE</t>
  </si>
  <si>
    <t>GRAPE S</t>
  </si>
  <si>
    <t>CP-257</t>
  </si>
  <si>
    <t>GRAPE B</t>
  </si>
  <si>
    <t>CP-256</t>
  </si>
  <si>
    <t>FOOTBALL</t>
  </si>
  <si>
    <t>CAMERA KEYCHAIN</t>
  </si>
  <si>
    <t>FACE CHANGER</t>
  </si>
  <si>
    <t>YELLOW DUCK</t>
  </si>
  <si>
    <t>PARROT S</t>
  </si>
  <si>
    <t>SOUND CAT B</t>
  </si>
  <si>
    <t>PARROT B</t>
  </si>
  <si>
    <t>BIGUL</t>
  </si>
  <si>
    <t>DRUM S</t>
  </si>
  <si>
    <t>DRUM B</t>
  </si>
  <si>
    <t>598-1</t>
  </si>
  <si>
    <t>BUILDING BLOCK 42 PCS</t>
  </si>
  <si>
    <t>BUILDING BLOCK 51 PCS</t>
  </si>
  <si>
    <t>BUILDING BLOCK BIG</t>
  </si>
  <si>
    <t>LM-223A</t>
  </si>
  <si>
    <t>BIG TANKER</t>
  </si>
  <si>
    <t>LMI-HT9812</t>
  </si>
  <si>
    <t>DUMPER TRUCK</t>
  </si>
  <si>
    <t>JDP01</t>
  </si>
  <si>
    <t>BIG DUMPER JCB</t>
  </si>
  <si>
    <t>LMI-8030-12A</t>
  </si>
  <si>
    <t>BIG TRUCK JCB</t>
  </si>
  <si>
    <t>LMI-8168-1</t>
  </si>
  <si>
    <t>SUV CAR BIG</t>
  </si>
  <si>
    <t>LMI-8005</t>
  </si>
  <si>
    <t>7706B</t>
  </si>
  <si>
    <t>BIG THAR</t>
  </si>
  <si>
    <t>JPB07</t>
  </si>
  <si>
    <t>GUN BOARD</t>
  </si>
  <si>
    <t>A559</t>
  </si>
  <si>
    <t>LM-BT004</t>
  </si>
  <si>
    <t>SAFARI TRAIN</t>
  </si>
  <si>
    <t>FROZEN BEAUTY</t>
  </si>
  <si>
    <t>200-1E</t>
  </si>
  <si>
    <t>2 PCS GUN BOARD</t>
  </si>
  <si>
    <t>TT-181</t>
  </si>
  <si>
    <t>DART BOARD</t>
  </si>
  <si>
    <t>QUOITS</t>
  </si>
  <si>
    <t>358C1</t>
  </si>
  <si>
    <t>DR.SET</t>
  </si>
  <si>
    <t>DR-814</t>
  </si>
  <si>
    <t>HOUSE CLEANING S</t>
  </si>
  <si>
    <t>SOFT BULLET ARROW</t>
  </si>
  <si>
    <t>8136-1</t>
  </si>
  <si>
    <t>MUNNA BHAI DR SET</t>
  </si>
  <si>
    <t>MBBS</t>
  </si>
  <si>
    <t>138K-6</t>
  </si>
  <si>
    <t>SLATE</t>
  </si>
  <si>
    <t>CP-277</t>
  </si>
  <si>
    <t>WRITING BOARD</t>
  </si>
  <si>
    <t>CP-276</t>
  </si>
  <si>
    <t>BUTTERFLY SLATE</t>
  </si>
  <si>
    <t>MAGIC SLATE</t>
  </si>
  <si>
    <t>CP-278</t>
  </si>
  <si>
    <t>ELEPHANT SLATE</t>
  </si>
  <si>
    <t>WRITING BOARD GAME</t>
  </si>
  <si>
    <t>CP-13</t>
  </si>
  <si>
    <t>MAGIC SLATE ROUND</t>
  </si>
  <si>
    <t>CP-10</t>
  </si>
  <si>
    <t>CP-281</t>
  </si>
  <si>
    <t>CP-279</t>
  </si>
  <si>
    <t>MAGIC SLATE S</t>
  </si>
  <si>
    <t>TJ-32</t>
  </si>
  <si>
    <t>TJ-31</t>
  </si>
  <si>
    <t>APPLE SLATE</t>
  </si>
  <si>
    <t>COLORING SET</t>
  </si>
  <si>
    <t>TJ-43</t>
  </si>
  <si>
    <t>TJ-40</t>
  </si>
  <si>
    <t>TJ-41</t>
  </si>
  <si>
    <t>TJ-44</t>
  </si>
  <si>
    <t>XYZYZ</t>
  </si>
  <si>
    <t>COLOR PENCIL SET</t>
  </si>
  <si>
    <t>JQ339</t>
  </si>
  <si>
    <t>TJ-42</t>
  </si>
  <si>
    <t>SOLAR BUDDHA</t>
  </si>
  <si>
    <t>SOLAR KUBERA</t>
  </si>
  <si>
    <t>SD-115</t>
  </si>
  <si>
    <t>X-3</t>
  </si>
  <si>
    <t>SOLAR PLANE</t>
  </si>
  <si>
    <t>JP206-17</t>
  </si>
  <si>
    <t>JP206-14</t>
  </si>
  <si>
    <t>JP206-16</t>
  </si>
  <si>
    <t>JP206-15</t>
  </si>
  <si>
    <t>SOLAR SMILY</t>
  </si>
  <si>
    <t>MLY23117</t>
  </si>
  <si>
    <t>MLY23116</t>
  </si>
  <si>
    <t>SOLAR CAT</t>
  </si>
  <si>
    <t>MLY23115</t>
  </si>
  <si>
    <t>SOLAR GANAPATI S</t>
  </si>
  <si>
    <t>SOLAR GANAPATI B</t>
  </si>
  <si>
    <t>MLY23053</t>
  </si>
  <si>
    <t>SOLAR BUDDHA B</t>
  </si>
  <si>
    <t>2201-B</t>
  </si>
  <si>
    <t>16509B</t>
  </si>
  <si>
    <t>SKIPPING ROPE</t>
  </si>
  <si>
    <t>KT-102A</t>
  </si>
  <si>
    <t>ANGEL DOLL</t>
  </si>
  <si>
    <t>CHESS &amp; LUDO</t>
  </si>
  <si>
    <t>F005</t>
  </si>
  <si>
    <t>CHESS 13-1</t>
  </si>
  <si>
    <t>RAINBOW FOG</t>
  </si>
  <si>
    <t xml:space="preserve">CARROM BOARD </t>
  </si>
  <si>
    <t>FLYING BIRD GUN</t>
  </si>
  <si>
    <t>SNAKE &amp; LUDO B</t>
  </si>
  <si>
    <t>F007</t>
  </si>
  <si>
    <t>SNAKE &amp; LUDO S</t>
  </si>
  <si>
    <t>F008</t>
  </si>
  <si>
    <t>ABCD BOARD</t>
  </si>
  <si>
    <t>KALAN DOLL</t>
  </si>
  <si>
    <t>BARBIE CROWN</t>
  </si>
  <si>
    <t>BARBIE DOLL</t>
  </si>
  <si>
    <t>CARROM BOARD B</t>
  </si>
  <si>
    <t>B/O GUITAR</t>
  </si>
  <si>
    <t>919C-2</t>
  </si>
  <si>
    <t>B/O TAB</t>
  </si>
  <si>
    <t>BARBIE BAG</t>
  </si>
  <si>
    <t>MAGNET DRAWING BOARD</t>
  </si>
  <si>
    <t>CP-293</t>
  </si>
  <si>
    <t>MINI CONSOLE</t>
  </si>
  <si>
    <t>FY02</t>
  </si>
  <si>
    <t>MIRROR SQUARE</t>
  </si>
  <si>
    <t>CP-261</t>
  </si>
  <si>
    <t>LIGHT PIPE</t>
  </si>
  <si>
    <t>CP-242</t>
  </si>
  <si>
    <t>LCD PEN CASE</t>
  </si>
  <si>
    <t>NI1773-30</t>
  </si>
  <si>
    <t>FLASH TOP</t>
  </si>
  <si>
    <t>20-4</t>
  </si>
  <si>
    <t>SPV001</t>
  </si>
  <si>
    <t>CREATIVE BLOCK</t>
  </si>
  <si>
    <t>TRACK RACER</t>
  </si>
  <si>
    <t>VEG CUT</t>
  </si>
  <si>
    <t>LM-411</t>
  </si>
  <si>
    <t>538-12</t>
  </si>
  <si>
    <t>KITCHEN SET</t>
  </si>
  <si>
    <t>SNOOKER BOARD</t>
  </si>
  <si>
    <t>SPIDER GUN BOARD</t>
  </si>
  <si>
    <t>8140A</t>
  </si>
  <si>
    <t>OCEAN WORLD</t>
  </si>
  <si>
    <t>MD-2220</t>
  </si>
  <si>
    <t>MAGNETIC STIC</t>
  </si>
  <si>
    <t>CP-292</t>
  </si>
  <si>
    <t>198-67</t>
  </si>
  <si>
    <t>SPV-019</t>
  </si>
  <si>
    <t>6 PCS PLANE</t>
  </si>
  <si>
    <t>LM-609</t>
  </si>
  <si>
    <t>4 PCS BUS</t>
  </si>
  <si>
    <t>LMI399-905F</t>
  </si>
  <si>
    <t>6 PCS BIKE</t>
  </si>
  <si>
    <t>399-2</t>
  </si>
  <si>
    <t>MUTH BLOCK</t>
  </si>
  <si>
    <t>633-201A</t>
  </si>
  <si>
    <t>DR-418</t>
  </si>
  <si>
    <t>6 PCS BOAT</t>
  </si>
  <si>
    <t>LMI-399-866F</t>
  </si>
  <si>
    <t>LUDO &amp; SNAKE BOX</t>
  </si>
  <si>
    <t>2563-8</t>
  </si>
  <si>
    <t>ARROW SET</t>
  </si>
  <si>
    <t>ROYAL</t>
  </si>
  <si>
    <t>ICE CREAM BOARD</t>
  </si>
  <si>
    <t>666-71</t>
  </si>
  <si>
    <t>LM-917</t>
  </si>
  <si>
    <t>COOK SET</t>
  </si>
  <si>
    <t>LM-2511</t>
  </si>
  <si>
    <t>JD-11</t>
  </si>
  <si>
    <t>9299 A/B</t>
  </si>
  <si>
    <t>SHOOT GUN BOARD</t>
  </si>
  <si>
    <t>MD-5606</t>
  </si>
  <si>
    <t>OCEAN WORLD B</t>
  </si>
  <si>
    <t>SQUID GUN</t>
  </si>
  <si>
    <t>LM-928</t>
  </si>
  <si>
    <t>SHOOTING GUN BIRD</t>
  </si>
  <si>
    <t>MU9466-1A</t>
  </si>
  <si>
    <t>GYRO SCOPE</t>
  </si>
  <si>
    <t>CP-392</t>
  </si>
  <si>
    <t>WIND PEACOCK</t>
  </si>
  <si>
    <t>2011-75</t>
  </si>
  <si>
    <t>FAN</t>
  </si>
  <si>
    <t>998-15A</t>
  </si>
  <si>
    <t>MIRROR ROUND</t>
  </si>
  <si>
    <t>CP-262</t>
  </si>
  <si>
    <t>SMALL JCB</t>
  </si>
  <si>
    <t>TRUCK 08</t>
  </si>
  <si>
    <t>168-50B</t>
  </si>
  <si>
    <t>ROBOT JCB</t>
  </si>
  <si>
    <t>CUBE</t>
  </si>
  <si>
    <t>SPIDER CUBE</t>
  </si>
  <si>
    <t>2014-ZZX-1</t>
  </si>
  <si>
    <t>BALL</t>
  </si>
  <si>
    <t>CP-401</t>
  </si>
  <si>
    <t>UNO CARD</t>
  </si>
  <si>
    <t>UNO</t>
  </si>
  <si>
    <t>MAGIC SPRING</t>
  </si>
  <si>
    <t>MCS106-3C</t>
  </si>
  <si>
    <t>RC HELICOPTER</t>
  </si>
  <si>
    <t>LH-1802</t>
  </si>
  <si>
    <t>GLAZING SOLAR</t>
  </si>
  <si>
    <t>CP-72</t>
  </si>
  <si>
    <t>UMBRELLA BLACK</t>
  </si>
  <si>
    <t>LOTUS 15CM</t>
  </si>
  <si>
    <t>CP-369</t>
  </si>
  <si>
    <t>LOTUS 10CM</t>
  </si>
  <si>
    <t>CP-370</t>
  </si>
  <si>
    <t>CP-265</t>
  </si>
  <si>
    <t>POUCH</t>
  </si>
  <si>
    <t>BAG POUCH</t>
  </si>
  <si>
    <t>CP-272</t>
  </si>
  <si>
    <t>POUCH SPIDER</t>
  </si>
  <si>
    <t>CP-271</t>
  </si>
  <si>
    <t>POUCH KITTY</t>
  </si>
  <si>
    <t>CP-270</t>
  </si>
  <si>
    <t>ELEPHANT DOLL B</t>
  </si>
  <si>
    <t>EDB</t>
  </si>
  <si>
    <t>ELEPHANT DOLL S</t>
  </si>
  <si>
    <t>EDS</t>
  </si>
  <si>
    <t>EAR MUFF</t>
  </si>
  <si>
    <t>EAR</t>
  </si>
  <si>
    <t>DOLL NO.3</t>
  </si>
  <si>
    <t>D3</t>
  </si>
  <si>
    <t>LADY BAG</t>
  </si>
  <si>
    <t>CP-269</t>
  </si>
  <si>
    <t>CANDY DOLL NO.5</t>
  </si>
  <si>
    <t>CD-5</t>
  </si>
  <si>
    <t>BOY DOLL</t>
  </si>
  <si>
    <t>BD</t>
  </si>
  <si>
    <t>CANDY DOLL NO.3</t>
  </si>
  <si>
    <t>CD-3</t>
  </si>
  <si>
    <t>CANDY DOLL NO.4</t>
  </si>
  <si>
    <t>CD-4</t>
  </si>
  <si>
    <t>MOLLY DOLL</t>
  </si>
  <si>
    <t>MD</t>
  </si>
  <si>
    <t>MISS WORLD</t>
  </si>
  <si>
    <t>MW</t>
  </si>
  <si>
    <t>SEELA DOLL</t>
  </si>
  <si>
    <t>SD</t>
  </si>
  <si>
    <t>RABBIT DOLL S</t>
  </si>
  <si>
    <t>RD-S</t>
  </si>
  <si>
    <t>BLACK DOG DOLL</t>
  </si>
  <si>
    <t>BDD</t>
  </si>
  <si>
    <t>BOX WITH CALCULATOR</t>
  </si>
  <si>
    <t>A1207</t>
  </si>
  <si>
    <t>MONKEY DOLL S</t>
  </si>
  <si>
    <t>MD-S</t>
  </si>
  <si>
    <t>BELL DOG</t>
  </si>
  <si>
    <t>B-DOG</t>
  </si>
  <si>
    <t>MONKEY DOLL B</t>
  </si>
  <si>
    <t>MD-B</t>
  </si>
  <si>
    <t>DORA DOLL</t>
  </si>
  <si>
    <t>DD</t>
  </si>
  <si>
    <t>GIRL DOLL</t>
  </si>
  <si>
    <t>GD</t>
  </si>
  <si>
    <t>DOLL NO.2</t>
  </si>
  <si>
    <t>D2</t>
  </si>
  <si>
    <t>LABUBU DOLL</t>
  </si>
  <si>
    <t>LD</t>
  </si>
  <si>
    <t>SOUND MONKEY DOLL</t>
  </si>
  <si>
    <t>SMD</t>
  </si>
  <si>
    <t>UNICORN DOLL</t>
  </si>
  <si>
    <t>UD</t>
  </si>
  <si>
    <t>KITTY DOLL</t>
  </si>
  <si>
    <t>KD</t>
  </si>
  <si>
    <t>CAT DOLL B</t>
  </si>
  <si>
    <t>CD-B</t>
  </si>
  <si>
    <t>SHINCHAN DOLL</t>
  </si>
  <si>
    <t>SD-1</t>
  </si>
  <si>
    <t>CANDY DOLL NO.2</t>
  </si>
  <si>
    <t>CD-2</t>
  </si>
  <si>
    <t>CANDY DOLL NO.1</t>
  </si>
  <si>
    <t>CD-1</t>
  </si>
  <si>
    <t>PENGUIN DOLL</t>
  </si>
  <si>
    <t>PD</t>
  </si>
  <si>
    <t>DOLL NO.1</t>
  </si>
  <si>
    <t>D1</t>
  </si>
  <si>
    <t>MIX DOLL</t>
  </si>
  <si>
    <t>MD-1</t>
  </si>
  <si>
    <t>SKETCH SET</t>
  </si>
  <si>
    <t>CP-157</t>
  </si>
  <si>
    <t>CP-155</t>
  </si>
  <si>
    <t>STATIONERY SET</t>
  </si>
  <si>
    <t>DRAWING SET</t>
  </si>
  <si>
    <t>8801-9</t>
  </si>
  <si>
    <t>CP-154</t>
  </si>
  <si>
    <t>CP-171</t>
  </si>
  <si>
    <t>CP-165</t>
  </si>
  <si>
    <t>CP-167</t>
  </si>
  <si>
    <t>SNIPER GUN</t>
  </si>
  <si>
    <t>M40</t>
  </si>
  <si>
    <t>FAST TURBO 8 PCS</t>
  </si>
  <si>
    <t>666-33</t>
  </si>
  <si>
    <t>DIE CAST BIKE</t>
  </si>
  <si>
    <t>LMI-7788-3</t>
  </si>
  <si>
    <t>B/O CAR</t>
  </si>
  <si>
    <t>ZX178</t>
  </si>
  <si>
    <t>LMI-7788-4</t>
  </si>
  <si>
    <t>10 PCS HOTWHEELS</t>
  </si>
  <si>
    <t>CP-514</t>
  </si>
  <si>
    <t>HOTWHEELS 10 PCS</t>
  </si>
  <si>
    <t>324-1</t>
  </si>
  <si>
    <t>CP-515</t>
  </si>
  <si>
    <t>10 PCS CAR SET</t>
  </si>
  <si>
    <t>055-8B</t>
  </si>
  <si>
    <t>1850D1-D4</t>
  </si>
  <si>
    <t>BINOCULAR BLACK</t>
  </si>
  <si>
    <t>CP-237</t>
  </si>
  <si>
    <t>B/O TRUCK</t>
  </si>
  <si>
    <t>833-14</t>
  </si>
  <si>
    <t>762-5</t>
  </si>
  <si>
    <t>MAGIC SPRING B</t>
  </si>
  <si>
    <t>MAGIC SPRING S</t>
  </si>
  <si>
    <t>B1028</t>
  </si>
  <si>
    <t>GEAR PLANE</t>
  </si>
  <si>
    <t>KH332-5</t>
  </si>
  <si>
    <t>MD-3602</t>
  </si>
  <si>
    <t>4 WAY MINI CAR</t>
  </si>
  <si>
    <t>688-5</t>
  </si>
  <si>
    <t>SHARP SHOOT</t>
  </si>
  <si>
    <t>KEY CHAIN</t>
  </si>
  <si>
    <t>CP-304</t>
  </si>
  <si>
    <t>CP-309</t>
  </si>
  <si>
    <t>TS97</t>
  </si>
  <si>
    <t>KEY CHAIN NIKE</t>
  </si>
  <si>
    <t>KEY CHAIN MASK</t>
  </si>
  <si>
    <t>TS103</t>
  </si>
  <si>
    <t>NUMBER ROBOT</t>
  </si>
  <si>
    <t>727-6</t>
  </si>
  <si>
    <t>PENCIL SET</t>
  </si>
  <si>
    <t>CP-166</t>
  </si>
  <si>
    <t>GANAPATI PUJA</t>
  </si>
  <si>
    <t>PHOTOFRAME</t>
  </si>
  <si>
    <t>CP-330</t>
  </si>
  <si>
    <t>CP-333</t>
  </si>
  <si>
    <t>CP-332</t>
  </si>
  <si>
    <t>6 PCS HOTWHEELS</t>
  </si>
  <si>
    <t>B/O DUCK</t>
  </si>
  <si>
    <t>B/O JCB</t>
  </si>
  <si>
    <t>JYD1195B</t>
  </si>
  <si>
    <t>GC169-164</t>
  </si>
  <si>
    <t>338B</t>
  </si>
  <si>
    <t>RC FAMOUS CAR</t>
  </si>
  <si>
    <t>LMI-6328SCH</t>
  </si>
  <si>
    <t>961-5</t>
  </si>
  <si>
    <t>MD-483616</t>
  </si>
  <si>
    <t>3278-1</t>
  </si>
  <si>
    <t>COLOR CHANGE CAR</t>
  </si>
  <si>
    <t>520-15</t>
  </si>
  <si>
    <t>INDUCTIVE TRUCK</t>
  </si>
  <si>
    <t>777-632</t>
  </si>
  <si>
    <t>B/O CRAB</t>
  </si>
  <si>
    <t>LMI-FD24003</t>
  </si>
  <si>
    <t>5 PCS CAR SET</t>
  </si>
  <si>
    <t>LA-275</t>
  </si>
  <si>
    <t>BLACK TRAIN</t>
  </si>
  <si>
    <t>F3605-1</t>
  </si>
  <si>
    <t>B/O SPRAY CAR</t>
  </si>
  <si>
    <t>HH241</t>
  </si>
  <si>
    <t>METAL THAR</t>
  </si>
  <si>
    <t>C11</t>
  </si>
  <si>
    <t>D3903-1</t>
  </si>
  <si>
    <t>B/O BABY</t>
  </si>
  <si>
    <t>3359-8</t>
  </si>
  <si>
    <t>833-29</t>
  </si>
  <si>
    <t>FLYING BARBIE</t>
  </si>
  <si>
    <t>CP-354</t>
  </si>
  <si>
    <t>SPRAY POLICE CAR</t>
  </si>
  <si>
    <t>8899-202</t>
  </si>
  <si>
    <t>B/O CITY RESCUE</t>
  </si>
  <si>
    <t>HC-032</t>
  </si>
  <si>
    <t>THAR</t>
  </si>
  <si>
    <t>MD-6835</t>
  </si>
  <si>
    <t>4 PCS HOTWHEELS</t>
  </si>
  <si>
    <t>0418-B</t>
  </si>
  <si>
    <t>B/O CRANE</t>
  </si>
  <si>
    <t>833-43</t>
  </si>
  <si>
    <t>HCN-3202</t>
  </si>
  <si>
    <t>HCN-3201</t>
  </si>
  <si>
    <t>KT-3064-1</t>
  </si>
  <si>
    <t>4331A</t>
  </si>
  <si>
    <t>ALLOY AIRCRAFT</t>
  </si>
  <si>
    <t xml:space="preserve">METAL THAR </t>
  </si>
  <si>
    <t>SOCCER TOY</t>
  </si>
  <si>
    <t>R138-45A</t>
  </si>
  <si>
    <t>SPORTS CAR</t>
  </si>
  <si>
    <t>ZY8986</t>
  </si>
  <si>
    <t>CLASSIC CAR</t>
  </si>
  <si>
    <t>MATCH GUN</t>
  </si>
  <si>
    <t>TRAIN</t>
  </si>
  <si>
    <t>168D-80</t>
  </si>
  <si>
    <t>808-13RF</t>
  </si>
  <si>
    <t>B/O BEE</t>
  </si>
  <si>
    <t>DL-301</t>
  </si>
  <si>
    <t>RC CAR</t>
  </si>
  <si>
    <t>R/C CAR</t>
  </si>
  <si>
    <t>LMI-GD121</t>
  </si>
  <si>
    <t>1314-6</t>
  </si>
  <si>
    <t>JY653</t>
  </si>
  <si>
    <t>MD-3901</t>
  </si>
  <si>
    <t>BUBBLE CAMERA</t>
  </si>
  <si>
    <t>B/O UZI</t>
  </si>
  <si>
    <t>8180-41</t>
  </si>
  <si>
    <t>MAGIC PUZZLE</t>
  </si>
  <si>
    <t>030-8B</t>
  </si>
  <si>
    <t>NH-05H</t>
  </si>
  <si>
    <t>TRACK MAZE</t>
  </si>
  <si>
    <t>MEMORY CHESS</t>
  </si>
  <si>
    <t>YT-3304</t>
  </si>
  <si>
    <t>B/O MIXER</t>
  </si>
  <si>
    <t>JY652</t>
  </si>
  <si>
    <t>4 WAY CAR</t>
  </si>
  <si>
    <t>0615-36</t>
  </si>
  <si>
    <t>B/O MONKEY</t>
  </si>
  <si>
    <t>1745-1</t>
  </si>
  <si>
    <t>B/O SPIDER CYCLE</t>
  </si>
  <si>
    <t>8669W</t>
  </si>
  <si>
    <t>RC SPIDER SPRAY CAR</t>
  </si>
  <si>
    <t>POKEMON CARD</t>
  </si>
  <si>
    <t>PROJECTION</t>
  </si>
  <si>
    <t>8811A</t>
  </si>
  <si>
    <t>ELECTRIC DOG</t>
  </si>
  <si>
    <t>111-3A</t>
  </si>
  <si>
    <t>JELLY FISH</t>
  </si>
  <si>
    <t>HX179</t>
  </si>
  <si>
    <t>V-115</t>
  </si>
  <si>
    <t>LMI-SR3011</t>
  </si>
  <si>
    <t>RC BUGATTI</t>
  </si>
  <si>
    <t>16-1</t>
  </si>
  <si>
    <t>RC ROCK CRAWLER</t>
  </si>
  <si>
    <t>2029S</t>
  </si>
  <si>
    <t>B/O ANGEL GIRL</t>
  </si>
  <si>
    <t>8899-122</t>
  </si>
  <si>
    <t>SHOOTING GUN</t>
  </si>
  <si>
    <t>MD-74</t>
  </si>
  <si>
    <t>B/O AUTO</t>
  </si>
  <si>
    <t>3788B</t>
  </si>
  <si>
    <t>B/O LION</t>
  </si>
  <si>
    <t>B/O HELICOPTER</t>
  </si>
  <si>
    <t>LMI-999-6</t>
  </si>
  <si>
    <t>GEAR TURTLE</t>
  </si>
  <si>
    <t>696-54</t>
  </si>
  <si>
    <t>ELECTRIC FISH</t>
  </si>
  <si>
    <t>FW338-1A</t>
  </si>
  <si>
    <t>SPIDER CLIMBING STAIRS</t>
  </si>
  <si>
    <t>2021-15</t>
  </si>
  <si>
    <t>GEL BALL MULTI COLOR</t>
  </si>
  <si>
    <t>TN1943</t>
  </si>
  <si>
    <t>B/O TRICYCLE</t>
  </si>
  <si>
    <t>8899-89</t>
  </si>
  <si>
    <t>6688-56</t>
  </si>
  <si>
    <t>3688-P130</t>
  </si>
  <si>
    <t>CP-81</t>
  </si>
  <si>
    <t>RC MODEL CAR</t>
  </si>
  <si>
    <t>LMI-889-1B</t>
  </si>
  <si>
    <t>RC FROZEN CAR</t>
  </si>
  <si>
    <t>230-1</t>
  </si>
  <si>
    <t>TRAIN WARRIOR</t>
  </si>
  <si>
    <t>FRIC JCB</t>
  </si>
  <si>
    <t>MD-928-1</t>
  </si>
  <si>
    <t>WONDER SHOT</t>
  </si>
  <si>
    <t>A0201</t>
  </si>
  <si>
    <t>MATCH BOX</t>
  </si>
  <si>
    <t>RC SPRAY CAR</t>
  </si>
  <si>
    <t>230-1S</t>
  </si>
  <si>
    <t>LMI-430</t>
  </si>
  <si>
    <t>SHOCK FAN</t>
  </si>
  <si>
    <t>CP-632</t>
  </si>
  <si>
    <t>B/O BUBBLE</t>
  </si>
  <si>
    <t>1236-14</t>
  </si>
  <si>
    <t xml:space="preserve">FAN BUBBLE </t>
  </si>
  <si>
    <t>BULLET TRAIN</t>
  </si>
  <si>
    <t>LX138A</t>
  </si>
  <si>
    <t>RC TRANSFORMERS</t>
  </si>
  <si>
    <t>5A-791</t>
  </si>
  <si>
    <t>LMI-8238</t>
  </si>
  <si>
    <t>CANDY FLOWER</t>
  </si>
  <si>
    <t>0018</t>
  </si>
  <si>
    <t>WATER GLASS</t>
  </si>
  <si>
    <t>CP-196</t>
  </si>
  <si>
    <t>METAL GUN KEYCHAIN</t>
  </si>
  <si>
    <t>ST-576</t>
  </si>
  <si>
    <t>VISUAL LAMP</t>
  </si>
  <si>
    <t>TJ97</t>
  </si>
  <si>
    <t>TJ98</t>
  </si>
  <si>
    <t>TJ96</t>
  </si>
  <si>
    <t>TJ95</t>
  </si>
  <si>
    <t>TJ1</t>
  </si>
  <si>
    <t>TJ2</t>
  </si>
  <si>
    <t>WINE GLASS</t>
  </si>
  <si>
    <t>CP-195</t>
  </si>
  <si>
    <t>CP-305</t>
  </si>
  <si>
    <t>TS93</t>
  </si>
  <si>
    <t>TS101</t>
  </si>
  <si>
    <t>TS96</t>
  </si>
  <si>
    <t>KEYCHAIN SPIDER</t>
  </si>
  <si>
    <t>KEYCHAIN STARBUCKS</t>
  </si>
  <si>
    <t>KEYCHAIN FOOTBALL</t>
  </si>
  <si>
    <t>KEYCHAIN BOUTIQUE</t>
  </si>
  <si>
    <t>TS102</t>
  </si>
  <si>
    <t>KEYCHAIN AVENGERS</t>
  </si>
  <si>
    <t>TS104</t>
  </si>
  <si>
    <t>KEYCHAIN TOM AND JERRY</t>
  </si>
  <si>
    <t>TS95</t>
  </si>
  <si>
    <t>FD5686-C</t>
  </si>
  <si>
    <t>FD5686-A</t>
  </si>
  <si>
    <t>KEYCHAIN LOONEY</t>
  </si>
  <si>
    <t>TS100</t>
  </si>
  <si>
    <t>CP-303</t>
  </si>
  <si>
    <t>CP-306</t>
  </si>
  <si>
    <t>KEYCHAIN BARBIE</t>
  </si>
  <si>
    <t>TS98</t>
  </si>
  <si>
    <t>DANCING CACTUS</t>
  </si>
  <si>
    <t>DANCING LABUBU</t>
  </si>
  <si>
    <t>TJ94</t>
  </si>
  <si>
    <t>R-903</t>
  </si>
  <si>
    <t>RC CAR WITH TRAFFIC</t>
  </si>
  <si>
    <t>898A-41C</t>
  </si>
  <si>
    <t>GYRO</t>
  </si>
  <si>
    <t>CP-405</t>
  </si>
  <si>
    <t>RC DEFENDER</t>
  </si>
  <si>
    <t>0055</t>
  </si>
  <si>
    <t>STATUE MIX</t>
  </si>
  <si>
    <t>CP-336</t>
  </si>
  <si>
    <t>CP-335</t>
  </si>
  <si>
    <t>HEADSET DUCK DOLL</t>
  </si>
  <si>
    <t>DOLL MIX</t>
  </si>
  <si>
    <t>BABY BOY RATTLE</t>
  </si>
  <si>
    <t>0010</t>
  </si>
  <si>
    <t>MQ-3138</t>
  </si>
  <si>
    <t>B/O KEYBOARD</t>
  </si>
  <si>
    <t>LX182</t>
  </si>
  <si>
    <t>BUBBLE</t>
  </si>
  <si>
    <t>BUBBLE BIG</t>
  </si>
  <si>
    <t>AVENGER CHARACTER</t>
  </si>
  <si>
    <t>HOCKEY</t>
  </si>
  <si>
    <t>82E</t>
  </si>
  <si>
    <t>BASKET BALL S</t>
  </si>
  <si>
    <t>BASKET BALL B</t>
  </si>
  <si>
    <t xml:space="preserve">TABLE TENNIS </t>
  </si>
  <si>
    <t>JUMBO ELEPHANT</t>
  </si>
  <si>
    <t>BUTTER SET</t>
  </si>
  <si>
    <t>RED CHILLI</t>
  </si>
  <si>
    <t>GANAPATI STATUE</t>
  </si>
  <si>
    <t>GANAPATI STATUE MIX</t>
  </si>
  <si>
    <t>CP-210</t>
  </si>
  <si>
    <t>CP-205</t>
  </si>
  <si>
    <t>CP-206</t>
  </si>
  <si>
    <t>CP-208</t>
  </si>
  <si>
    <t>CP-207</t>
  </si>
  <si>
    <t>CP-211</t>
  </si>
  <si>
    <t>CP-209</t>
  </si>
  <si>
    <t>RC JCB</t>
  </si>
  <si>
    <t>0901-1</t>
  </si>
  <si>
    <t>RC CRAWLER</t>
  </si>
  <si>
    <t>922A</t>
  </si>
  <si>
    <t>8601A</t>
  </si>
  <si>
    <t>FAST FOOD</t>
  </si>
  <si>
    <t>HX165</t>
  </si>
  <si>
    <t>B/O TIPPER</t>
  </si>
  <si>
    <t>JY681</t>
  </si>
  <si>
    <t>175A1</t>
  </si>
  <si>
    <t>175A3</t>
  </si>
  <si>
    <t>JOOMER</t>
  </si>
  <si>
    <t>CP-258</t>
  </si>
  <si>
    <t>ADIYOGI S</t>
  </si>
  <si>
    <t>KUBERA</t>
  </si>
  <si>
    <t>ADIYOGI M</t>
  </si>
  <si>
    <t>ADIYOGI</t>
  </si>
  <si>
    <t>SOLAR FROG</t>
  </si>
  <si>
    <t>JP-136-3</t>
  </si>
  <si>
    <t>ST-11</t>
  </si>
  <si>
    <t>CP-623</t>
  </si>
  <si>
    <t>PAINTING SET</t>
  </si>
  <si>
    <t>CP-629</t>
  </si>
  <si>
    <t>BRICK GAME</t>
  </si>
  <si>
    <t>BLOCK</t>
  </si>
  <si>
    <t>JELL BALL</t>
  </si>
  <si>
    <t>CP-538</t>
  </si>
  <si>
    <t>JM 578</t>
  </si>
  <si>
    <t>WJ 950-100</t>
  </si>
  <si>
    <t>MODEL CAR</t>
  </si>
  <si>
    <t>MD-6832</t>
  </si>
  <si>
    <t>DIE CAST METAL CAR</t>
  </si>
  <si>
    <t>DIE CAST TAXI</t>
  </si>
  <si>
    <t>D3250-1</t>
  </si>
  <si>
    <t>R1018-21</t>
  </si>
  <si>
    <t>MAGIC WATER BOOK</t>
  </si>
  <si>
    <t>ST-042</t>
  </si>
  <si>
    <t>CP-204</t>
  </si>
  <si>
    <t xml:space="preserve">B/O FAST FOOD CYCLE </t>
  </si>
  <si>
    <t>ANIMAL</t>
  </si>
  <si>
    <t>FRICTION CAR</t>
  </si>
  <si>
    <t>SOLAR WITH SMALL RING</t>
  </si>
  <si>
    <t>P/B MOTOCYCLE 6PCS</t>
  </si>
  <si>
    <t>SPRING</t>
  </si>
  <si>
    <t>B/O TANKER</t>
  </si>
  <si>
    <t>B/O ELECTRIC TRAIN</t>
  </si>
  <si>
    <t>2032-2</t>
  </si>
  <si>
    <t>SPIDER YOYO</t>
  </si>
  <si>
    <t>UZI</t>
  </si>
  <si>
    <t>WIND UP OWL</t>
  </si>
  <si>
    <t>FIRE TRUCK SMALL</t>
  </si>
  <si>
    <t>CP-238</t>
  </si>
  <si>
    <t>CP-240</t>
  </si>
  <si>
    <t>EAGLE GUN BOARD</t>
  </si>
  <si>
    <t>LIGHT MUSIC ROBOT</t>
  </si>
  <si>
    <t>SMALL BRICK GAME</t>
  </si>
  <si>
    <t>ELECTRIC LIGHT BEE</t>
  </si>
  <si>
    <t>DOG EXCAVATOR</t>
  </si>
  <si>
    <t>COSMETIC MIRROR</t>
  </si>
  <si>
    <t>CP-263</t>
  </si>
  <si>
    <t>CP-367</t>
  </si>
  <si>
    <t>GRAPES 46 PCS</t>
  </si>
  <si>
    <t>CP-368</t>
  </si>
  <si>
    <t>GRAPES 81 PCS</t>
  </si>
  <si>
    <t>UFO GYRO</t>
  </si>
  <si>
    <t>CP-423</t>
  </si>
  <si>
    <t>FANCY GLASS BLACK</t>
  </si>
  <si>
    <t>CP-424</t>
  </si>
  <si>
    <t>FANCY GLASS COLOUR</t>
  </si>
  <si>
    <t>TS1</t>
  </si>
  <si>
    <t>HAIR ACCESSORIES</t>
  </si>
  <si>
    <t>TS2</t>
  </si>
  <si>
    <t>TS3</t>
  </si>
  <si>
    <t>TS4</t>
  </si>
  <si>
    <t>TS5</t>
  </si>
  <si>
    <t>TS6</t>
  </si>
  <si>
    <t>TS7</t>
  </si>
  <si>
    <t>TS9</t>
  </si>
  <si>
    <t>TS11</t>
  </si>
  <si>
    <t>TS12</t>
  </si>
  <si>
    <t>TS15</t>
  </si>
  <si>
    <t>TS17</t>
  </si>
  <si>
    <t>TS18</t>
  </si>
  <si>
    <t>TS20</t>
  </si>
  <si>
    <t>TS21</t>
  </si>
  <si>
    <t>HAIR CLIP</t>
  </si>
  <si>
    <t>TS22</t>
  </si>
  <si>
    <t>TS23</t>
  </si>
  <si>
    <t>TS24</t>
  </si>
  <si>
    <t>TS25</t>
  </si>
  <si>
    <t>TS26</t>
  </si>
  <si>
    <t>TS27</t>
  </si>
  <si>
    <t>TS28</t>
  </si>
  <si>
    <t>TS29</t>
  </si>
  <si>
    <t>TS31</t>
  </si>
  <si>
    <t>TS66</t>
  </si>
  <si>
    <t>TS77</t>
  </si>
  <si>
    <t>TS79</t>
  </si>
  <si>
    <t>TS84</t>
  </si>
  <si>
    <t>TS85</t>
  </si>
  <si>
    <t>TS88</t>
  </si>
  <si>
    <t>TS91</t>
  </si>
  <si>
    <t>TS94</t>
  </si>
  <si>
    <t>TS138</t>
  </si>
  <si>
    <t>RING 50 PCS</t>
  </si>
  <si>
    <t>TS139</t>
  </si>
  <si>
    <t>TS140</t>
  </si>
  <si>
    <t>TS141</t>
  </si>
  <si>
    <t>RING 24 PCS</t>
  </si>
  <si>
    <t>TS142</t>
  </si>
  <si>
    <t>TS143</t>
  </si>
  <si>
    <t>TS145A</t>
  </si>
  <si>
    <t>TS152</t>
  </si>
  <si>
    <t>RING 36 PCS</t>
  </si>
  <si>
    <t>TS154</t>
  </si>
  <si>
    <t>TS156</t>
  </si>
  <si>
    <t>PEARL CHAIN 6 COLOR</t>
  </si>
  <si>
    <t>TS157</t>
  </si>
  <si>
    <t>TS158</t>
  </si>
  <si>
    <t>TS159</t>
  </si>
  <si>
    <t>TS160</t>
  </si>
  <si>
    <t>TS161</t>
  </si>
  <si>
    <t>PEARL CHAIN 2 COLOR</t>
  </si>
  <si>
    <t>TS162</t>
  </si>
  <si>
    <t>TS13</t>
  </si>
  <si>
    <t>HAIR BOW</t>
  </si>
  <si>
    <t>TS19</t>
  </si>
  <si>
    <t>TS43</t>
  </si>
  <si>
    <t>TS63</t>
  </si>
  <si>
    <t>TS64</t>
  </si>
  <si>
    <t>CP-425</t>
  </si>
  <si>
    <t>SUNGLASS</t>
  </si>
  <si>
    <t>ALLOY LAMBORGHINI</t>
  </si>
  <si>
    <t>R/C BUGATTI</t>
  </si>
  <si>
    <t>ELECTRIC SPRAY CAR</t>
  </si>
  <si>
    <t>1021-26</t>
  </si>
  <si>
    <t>COLOR CHANGE ALLOY</t>
  </si>
  <si>
    <t>CP-594</t>
  </si>
  <si>
    <t>DUCK BOUNCING BALL</t>
  </si>
  <si>
    <t>CP-595</t>
  </si>
  <si>
    <t>MOON BALL</t>
  </si>
  <si>
    <t>CP-596</t>
  </si>
  <si>
    <t>CP-598</t>
  </si>
  <si>
    <t>CP-599</t>
  </si>
  <si>
    <t>CP-614</t>
  </si>
  <si>
    <t>CP-615</t>
  </si>
  <si>
    <t>ANIMAL SET</t>
  </si>
  <si>
    <t>CP-328</t>
  </si>
  <si>
    <t>HOT WHEELS SET</t>
  </si>
  <si>
    <t>ST-047</t>
  </si>
  <si>
    <t>WATER BOOK</t>
  </si>
  <si>
    <t>MOBILE PHONE</t>
  </si>
  <si>
    <t>ORNAMENT SUIT</t>
  </si>
  <si>
    <t>CP-616</t>
  </si>
  <si>
    <t>BEACH BALL</t>
  </si>
  <si>
    <t>TJ-1</t>
  </si>
  <si>
    <t>TJ-2</t>
  </si>
  <si>
    <t>TJ-95</t>
  </si>
  <si>
    <t>TJ-96</t>
  </si>
  <si>
    <t>TJ-98</t>
  </si>
  <si>
    <t>ELECTRIC TRAIN</t>
  </si>
  <si>
    <t>FRICTION HITACHI</t>
  </si>
  <si>
    <t>FRICTION DUMPER</t>
  </si>
  <si>
    <t>FRICTION CRANE</t>
  </si>
  <si>
    <t>BUTTERFLY STIC</t>
  </si>
  <si>
    <t>PULL BACK FIRE TRUCK</t>
  </si>
  <si>
    <t>2D SQUARE ANIMAL</t>
  </si>
  <si>
    <t>WIND UP TOY</t>
  </si>
  <si>
    <t>PENGUIN</t>
  </si>
  <si>
    <t>LK3096</t>
  </si>
  <si>
    <t>FOOD PAN</t>
  </si>
  <si>
    <t>ANIMAL BAG(8)</t>
  </si>
  <si>
    <t>ANIMAL BAG(6)</t>
  </si>
  <si>
    <t>GLASING SOLAR</t>
  </si>
  <si>
    <t>GRAPE 85PCS</t>
  </si>
  <si>
    <t>GRAPE 46PCS</t>
  </si>
  <si>
    <t>833-39</t>
  </si>
  <si>
    <t>SMALL PHONE</t>
  </si>
  <si>
    <t>833B</t>
  </si>
  <si>
    <t>R/C TRANSFORMER</t>
  </si>
  <si>
    <t>B/O HUMMER</t>
  </si>
  <si>
    <t>175A-3</t>
  </si>
  <si>
    <t xml:space="preserve">B/O CON. CAR </t>
  </si>
  <si>
    <t>LM688-16</t>
  </si>
  <si>
    <t>STICK BLOCK</t>
  </si>
  <si>
    <t>KWIK BAT</t>
  </si>
  <si>
    <t>GT500</t>
  </si>
  <si>
    <t>TCX-797</t>
  </si>
  <si>
    <t>TESLA FRIC-CAR</t>
  </si>
  <si>
    <t>MU-1986</t>
  </si>
  <si>
    <t>METALLIC CAR</t>
  </si>
  <si>
    <t>LION KING MIXER</t>
  </si>
  <si>
    <t>9466-1A</t>
  </si>
  <si>
    <t>9803-18</t>
  </si>
  <si>
    <t>PULL LINE COPTER</t>
  </si>
  <si>
    <t>PULL LINE CANDY</t>
  </si>
  <si>
    <t>PULL LINE BIKE</t>
  </si>
  <si>
    <t>PULL LINE CYCLE</t>
  </si>
  <si>
    <t>AQUA MERMAID</t>
  </si>
  <si>
    <t>MAZE</t>
  </si>
  <si>
    <t>0111</t>
  </si>
  <si>
    <t>JH-005S</t>
  </si>
  <si>
    <t>TEDDY RING SMALL</t>
  </si>
  <si>
    <t>1388C778-2</t>
  </si>
  <si>
    <t>HY-04</t>
  </si>
  <si>
    <t>HCL-3201</t>
  </si>
  <si>
    <t>HCL-3202</t>
  </si>
  <si>
    <t>SPIDER FLY</t>
  </si>
  <si>
    <t>03</t>
  </si>
  <si>
    <t>ROLL BALL 2 SET</t>
  </si>
  <si>
    <t>04</t>
  </si>
  <si>
    <t>HN3601/2</t>
  </si>
  <si>
    <t>MILITARY TIPPER</t>
  </si>
  <si>
    <t>CF</t>
  </si>
  <si>
    <t>R/C FAST 01 4 WAY</t>
  </si>
  <si>
    <t>R/C CAR RECHARGEABLE</t>
  </si>
  <si>
    <t>CP-2</t>
  </si>
  <si>
    <t>CP-3</t>
  </si>
  <si>
    <t>MONEY BANK STAR</t>
  </si>
  <si>
    <t>H7106</t>
  </si>
  <si>
    <t>METAL AMBULANCE</t>
  </si>
  <si>
    <t>CHILLI</t>
  </si>
  <si>
    <t>CHILLI SET</t>
  </si>
  <si>
    <t>TABLET</t>
  </si>
  <si>
    <t>SL-56</t>
  </si>
  <si>
    <t>PUMP</t>
  </si>
  <si>
    <t>CHESS B</t>
  </si>
  <si>
    <t>CHESS &amp; LUDO BIG</t>
  </si>
  <si>
    <t>CHESS S</t>
  </si>
  <si>
    <t>CHESS &amp; LUDO SMALL</t>
  </si>
  <si>
    <t>324-6</t>
  </si>
  <si>
    <t>LM-004</t>
  </si>
  <si>
    <t>5555-B</t>
  </si>
  <si>
    <t>K0201</t>
  </si>
  <si>
    <t>SHOTS</t>
  </si>
  <si>
    <t>MONEY BANK ELEPHANT</t>
  </si>
  <si>
    <t>ZHT-410</t>
  </si>
  <si>
    <t>C333</t>
  </si>
  <si>
    <t>CY-058W</t>
  </si>
  <si>
    <t>SHUTTLE</t>
  </si>
  <si>
    <t>FIRE VAN</t>
  </si>
  <si>
    <t>COLA</t>
  </si>
  <si>
    <t>RAINBOW SMOKE</t>
  </si>
  <si>
    <t>0021</t>
  </si>
  <si>
    <t>CLEANING BOARD S</t>
  </si>
  <si>
    <t>ELEPHANT DOLL</t>
  </si>
  <si>
    <t>DOLL NO.4</t>
  </si>
  <si>
    <t xml:space="preserve">MUFF </t>
  </si>
  <si>
    <t>KT-3064</t>
  </si>
  <si>
    <t>JE-2202</t>
  </si>
  <si>
    <t>LM-8005D</t>
  </si>
  <si>
    <t>LMI-399-905F</t>
  </si>
  <si>
    <t>BOARD BUS</t>
  </si>
  <si>
    <t>TRUCK B</t>
  </si>
  <si>
    <t>ZY-760-15X</t>
  </si>
  <si>
    <t>DUMPER S</t>
  </si>
  <si>
    <t>JE1101</t>
  </si>
  <si>
    <t>JUMBO DUMPER</t>
  </si>
  <si>
    <t>MD-HX807</t>
  </si>
  <si>
    <t>MOUNTAIN CYCLE</t>
  </si>
  <si>
    <t>MD928-1</t>
  </si>
  <si>
    <t>12 PCS BIKE</t>
  </si>
  <si>
    <t>MD6835</t>
  </si>
  <si>
    <t>LM-7007</t>
  </si>
  <si>
    <t>RC BOARD CAR</t>
  </si>
  <si>
    <t>FRIC RANGE ROVER</t>
  </si>
  <si>
    <t>FRIC TRUCK</t>
  </si>
  <si>
    <t>6636-60</t>
  </si>
  <si>
    <t>X HERO GUN</t>
  </si>
  <si>
    <t>SNIPER</t>
  </si>
  <si>
    <t>BBS</t>
  </si>
  <si>
    <t>BASKETBALL SMALL</t>
  </si>
  <si>
    <t>BBJ</t>
  </si>
  <si>
    <t>BASKETBALL BIG</t>
  </si>
  <si>
    <t>BUBBLE GUN</t>
  </si>
  <si>
    <t>O17</t>
  </si>
  <si>
    <t>9299A</t>
  </si>
  <si>
    <t>ZOO SAFARI TRAIN</t>
  </si>
  <si>
    <t>GUN SERIES</t>
  </si>
  <si>
    <t>O22</t>
  </si>
  <si>
    <t>BEACH BUCKET</t>
  </si>
  <si>
    <t>NOO7</t>
  </si>
  <si>
    <t>CRIKET SET</t>
  </si>
  <si>
    <t>ST 171-4</t>
  </si>
  <si>
    <t>MOUTH ORGAN</t>
  </si>
  <si>
    <t>ST 8019</t>
  </si>
  <si>
    <t>LMI-GD 129R</t>
  </si>
  <si>
    <t>ROCK CRAWLER</t>
  </si>
  <si>
    <t>GLOVES</t>
  </si>
  <si>
    <t>0099</t>
  </si>
  <si>
    <t>GLOVE</t>
  </si>
  <si>
    <t>G 067</t>
  </si>
  <si>
    <t>XY-ZYZ 8003</t>
  </si>
  <si>
    <t>MD 9800</t>
  </si>
  <si>
    <t>DUBBLE DEK</t>
  </si>
  <si>
    <t>SPIDER MAN CAR</t>
  </si>
  <si>
    <t>JQ 339</t>
  </si>
  <si>
    <t>COLOR SET MIX</t>
  </si>
  <si>
    <t>CACTUES</t>
  </si>
  <si>
    <t>805 M</t>
  </si>
  <si>
    <t>FAN BUBBLE</t>
  </si>
  <si>
    <t>MD 0099</t>
  </si>
  <si>
    <t>CAT DOLL BIG</t>
  </si>
  <si>
    <t>CAT DOLL SMALL</t>
  </si>
  <si>
    <t>K T -6</t>
  </si>
  <si>
    <t>STICK BIRD</t>
  </si>
  <si>
    <t>ROLL BALL 3</t>
  </si>
  <si>
    <t>MD BHX 801</t>
  </si>
  <si>
    <t>BOW&amp; ARROW</t>
  </si>
  <si>
    <t>MD 8514</t>
  </si>
  <si>
    <t>818-3</t>
  </si>
  <si>
    <t>SKETING SPIDER</t>
  </si>
  <si>
    <t>DART GAME</t>
  </si>
  <si>
    <t>KOMB</t>
  </si>
  <si>
    <t>BUBBLE SMALL</t>
  </si>
  <si>
    <t>CARROM</t>
  </si>
  <si>
    <t>CARROM BOARD</t>
  </si>
  <si>
    <t>KT-1003</t>
  </si>
  <si>
    <t>MD 921</t>
  </si>
  <si>
    <t>B/O JELLY FISH</t>
  </si>
  <si>
    <t>DINOSAR GUN</t>
  </si>
  <si>
    <t>REMOTE CONTROL CAR</t>
  </si>
  <si>
    <t>REBOUND ALLOY CAR</t>
  </si>
  <si>
    <t>D3278-1</t>
  </si>
  <si>
    <t>INERTIAL MOTORCYCLE</t>
  </si>
  <si>
    <t>MUSIC GUITAR</t>
  </si>
  <si>
    <t>HARLEY MOTORCYCLE</t>
  </si>
  <si>
    <t>PEDAL MOTORCYCLE</t>
  </si>
  <si>
    <t>SPIDER MANS SPINNING TOP</t>
  </si>
  <si>
    <t>KUROMI PRESS CART(12 PCS)</t>
  </si>
  <si>
    <t>ALLOY CAR</t>
  </si>
  <si>
    <t>METAL VEHICLE</t>
  </si>
  <si>
    <t>ERTONG BUGATTI REMOTE CAR</t>
  </si>
  <si>
    <t>LAND ROVER DEFENDER</t>
  </si>
  <si>
    <t>CONSTRUCTION VEHICLE</t>
  </si>
  <si>
    <t>ELECTRONIC ORGEN</t>
  </si>
  <si>
    <t>MQ3138</t>
  </si>
  <si>
    <t>MILITARY VEHICLE</t>
  </si>
  <si>
    <t>OFF ROAD CLIMBING VEHICLE</t>
  </si>
  <si>
    <t>DOUBLE SIDE SPRAY CAR</t>
  </si>
  <si>
    <t>SPIDER MAN CUBE</t>
  </si>
  <si>
    <t>JURASSIC WATER MACHINE</t>
  </si>
  <si>
    <t>789A-26F</t>
  </si>
  <si>
    <t>MODEL BICYCLE</t>
  </si>
  <si>
    <t>BIG BAR  CYCLE</t>
  </si>
  <si>
    <t>LIGHTS CRAB</t>
  </si>
  <si>
    <t>LIGHTS UNICORN</t>
  </si>
  <si>
    <t>IRON MAN BICYCLE</t>
  </si>
  <si>
    <t>1:50 SIMULATION ALLOY CAR</t>
  </si>
  <si>
    <t>4 WAY REMOTE CONTROL CAR</t>
  </si>
  <si>
    <t>SPIDER MAN GLOVES</t>
  </si>
  <si>
    <t>828-F2</t>
  </si>
  <si>
    <t>UPPER CHAIN  BEATING SMALL TOY</t>
  </si>
  <si>
    <t>SPIDER CART 12 PCS</t>
  </si>
  <si>
    <t>MENGBAO RINGING BELL(SINGLE)</t>
  </si>
  <si>
    <t>ELECTRIC SOUND LIGHT GUN</t>
  </si>
  <si>
    <t>FROG JUMPING ON THE CHAIN</t>
  </si>
  <si>
    <t xml:space="preserve">DARK PYRAMID </t>
  </si>
  <si>
    <t>SKATEBOARD SPIDER MAN</t>
  </si>
  <si>
    <t>TELESCOPIC FIST GUN</t>
  </si>
  <si>
    <t>4 WAY CAR WITH TRAFFIC LIGHTS</t>
  </si>
  <si>
    <t>AVENGERS RINGING BELL (SET OF 6)</t>
  </si>
  <si>
    <t>CP-767</t>
  </si>
  <si>
    <t>CP-768</t>
  </si>
  <si>
    <t>HANDHELD FAN</t>
  </si>
  <si>
    <t>TJ-10</t>
  </si>
  <si>
    <t>TJ-11</t>
  </si>
  <si>
    <t>TJ-11 A</t>
  </si>
  <si>
    <t>TJ-27</t>
  </si>
  <si>
    <t>TJ-45</t>
  </si>
  <si>
    <t>TJ-79</t>
  </si>
  <si>
    <t>TJ-80</t>
  </si>
  <si>
    <t>WINDING DUCK</t>
  </si>
  <si>
    <t>SPIDER MAN SET 7 PCS</t>
  </si>
  <si>
    <t>PULL BACK SPIDER MAN</t>
  </si>
  <si>
    <t>AVENGER STATUE 6 PCS</t>
  </si>
  <si>
    <t>LABUBU TOKING TOY</t>
  </si>
  <si>
    <t>TJ-94</t>
  </si>
  <si>
    <t>Brand</t>
  </si>
  <si>
    <t>Godown</t>
  </si>
  <si>
    <t>Main Location</t>
  </si>
  <si>
    <t>Mangad Godown</t>
  </si>
  <si>
    <t>Kuzhichal Godown</t>
  </si>
  <si>
    <t>INDIAKUZHIZHAL</t>
  </si>
  <si>
    <t>OLDCHKUZHICAL</t>
  </si>
  <si>
    <t>OLDCHMANGAD</t>
  </si>
  <si>
    <t>OLDCHKOLMOTTA</t>
  </si>
  <si>
    <t>CHINDCLSTKTHEJUS</t>
  </si>
  <si>
    <t>NEWCHINAMANGAD</t>
  </si>
  <si>
    <t>I</t>
  </si>
  <si>
    <t>MAIN LOCATION GODOWN</t>
  </si>
  <si>
    <t>II</t>
  </si>
  <si>
    <t>MANGAD GODOWN</t>
  </si>
  <si>
    <t>KUZHICHAL GODOWN</t>
  </si>
  <si>
    <t>III</t>
  </si>
  <si>
    <t>THEJUS TRADING PARASSINIKADAVU</t>
  </si>
  <si>
    <t>Date : 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</si>
</sst>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1" fillId="0" borderId="0" xfId="0" applyFont="1" applyBorder="1"/>
    <xf numFmtId="0" fontId="0" fillId="3" borderId="0" xfId="0" applyFill="1" applyAlignment="1">
      <alignment horizontal="center"/>
    </xf>
    <xf numFmtId="0" fontId="1" fillId="3" borderId="0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4" borderId="0" xfId="0" applyFill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5"/>
  <sheetViews>
    <sheetView tabSelected="1" workbookViewId="0">
      <pane ySplit="6" topLeftCell="A1274" activePane="bottomLeft" state="frozen"/>
      <selection pane="bottomLeft" activeCell="H1285" sqref="H1285"/>
    </sheetView>
  </sheetViews>
  <sheetFormatPr defaultRowHeight="14.4" x14ac:dyDescent="0.3"/>
  <cols>
    <col min="1" max="1" width="8.88671875" style="6"/>
    <col min="2" max="2" width="35.109375" customWidth="1"/>
    <col min="3" max="3" width="20.33203125" style="2" customWidth="1"/>
    <col min="4" max="4" width="9.6640625" bestFit="1" customWidth="1"/>
    <col min="6" max="6" width="17.44140625" customWidth="1"/>
    <col min="7" max="7" width="18" customWidth="1"/>
    <col min="8" max="8" width="16" style="5" customWidth="1"/>
    <col min="9" max="9" width="17.44140625" customWidth="1"/>
    <col min="10" max="10" width="11.5546875" customWidth="1"/>
    <col min="13" max="13" width="11.33203125" bestFit="1" customWidth="1"/>
    <col min="14" max="14" width="12.109375" customWidth="1"/>
    <col min="16" max="16" width="11.5546875" style="6" bestFit="1" customWidth="1"/>
  </cols>
  <sheetData>
    <row r="1" spans="1:16" x14ac:dyDescent="0.3">
      <c r="C1" s="23" t="s">
        <v>1614</v>
      </c>
    </row>
    <row r="2" spans="1:16" x14ac:dyDescent="0.3">
      <c r="C2" s="2" t="s">
        <v>1615</v>
      </c>
    </row>
    <row r="3" spans="1:16" x14ac:dyDescent="0.3">
      <c r="A3" s="6" t="s">
        <v>13</v>
      </c>
      <c r="B3" s="1" t="s">
        <v>0</v>
      </c>
      <c r="C3" s="21" t="s">
        <v>1</v>
      </c>
      <c r="D3" s="1" t="s">
        <v>2</v>
      </c>
      <c r="E3" s="1" t="s">
        <v>7</v>
      </c>
      <c r="F3" s="1" t="s">
        <v>1598</v>
      </c>
      <c r="G3" s="1" t="s">
        <v>1597</v>
      </c>
      <c r="H3" s="18" t="s">
        <v>3</v>
      </c>
      <c r="I3" s="1" t="s">
        <v>4</v>
      </c>
      <c r="J3" s="1" t="s">
        <v>5</v>
      </c>
      <c r="K3" s="1" t="s">
        <v>6</v>
      </c>
      <c r="L3" s="1" t="s">
        <v>8</v>
      </c>
      <c r="M3" s="1" t="s">
        <v>9</v>
      </c>
      <c r="N3" s="1" t="s">
        <v>12</v>
      </c>
      <c r="O3" s="1" t="s">
        <v>10</v>
      </c>
      <c r="P3" s="25" t="s">
        <v>11</v>
      </c>
    </row>
    <row r="4" spans="1:16" x14ac:dyDescent="0.3">
      <c r="A4" s="16" t="s">
        <v>1608</v>
      </c>
      <c r="B4" s="17" t="s">
        <v>1609</v>
      </c>
      <c r="C4" s="22"/>
      <c r="D4" s="13"/>
      <c r="E4" s="13"/>
      <c r="F4" s="13"/>
      <c r="G4" s="13"/>
      <c r="H4" s="19"/>
      <c r="I4" s="13"/>
      <c r="J4" s="13"/>
      <c r="K4" s="13"/>
      <c r="L4" s="13"/>
      <c r="M4" s="13"/>
      <c r="N4" s="13"/>
      <c r="O4" s="13"/>
      <c r="P4" s="26"/>
    </row>
    <row r="5" spans="1:16" x14ac:dyDescent="0.3">
      <c r="A5" s="14"/>
      <c r="B5" s="15"/>
      <c r="C5" s="22"/>
      <c r="D5" s="13"/>
      <c r="E5" s="13"/>
      <c r="F5" s="13"/>
      <c r="G5" s="13"/>
      <c r="H5" s="19"/>
      <c r="I5" s="13"/>
      <c r="J5" s="13"/>
      <c r="K5" s="13"/>
      <c r="L5" s="13"/>
      <c r="M5" s="13"/>
      <c r="N5" s="13"/>
      <c r="O5" s="13"/>
      <c r="P5" s="26"/>
    </row>
    <row r="6" spans="1:16" x14ac:dyDescent="0.3">
      <c r="G6" s="11"/>
      <c r="H6" s="9"/>
    </row>
    <row r="7" spans="1:16" ht="18" x14ac:dyDescent="0.35">
      <c r="B7" s="10"/>
      <c r="P7" s="27">
        <f t="shared" si="4"/>
        <v>0</v>
      </c>
    </row>
    <row r="8" spans="1:16" x14ac:dyDescent="0.3">
      <c r="A8" s="6">
        <v>1</v>
      </c>
      <c r="B8" t="s">
        <v>14</v>
      </c>
      <c r="C8" s="2" t="s">
        <v>766</v>
      </c>
      <c r="D8" t="s">
        <v>15</v>
      </c>
      <c r="F8" t="s">
        <v>1599</v>
      </c>
      <c r="G8" t="s">
        <v>1606</v>
      </c>
      <c r="H8" s="5">
        <v>35</v>
      </c>
      <c r="J8">
        <v>75</v>
      </c>
      <c r="P8" s="6">
        <v>56</v>
      </c>
    </row>
    <row r="9" spans="1:16" x14ac:dyDescent="0.3">
      <c r="A9" s="6">
        <v>2</v>
      </c>
      <c r="B9" t="s">
        <v>16</v>
      </c>
      <c r="C9" s="2" t="s">
        <v>17</v>
      </c>
      <c r="D9" t="s">
        <v>18</v>
      </c>
      <c r="F9" t="s">
        <v>1599</v>
      </c>
      <c r="G9" t="s">
        <v>1606</v>
      </c>
      <c r="H9" s="5">
        <v>94</v>
      </c>
      <c r="J9">
        <v>70</v>
      </c>
      <c r="P9" s="6">
        <v>49</v>
      </c>
    </row>
    <row r="10" spans="1:16" x14ac:dyDescent="0.3">
      <c r="A10" s="6">
        <v>3</v>
      </c>
      <c r="B10" t="s">
        <v>19</v>
      </c>
      <c r="C10" s="2" t="s">
        <v>20</v>
      </c>
      <c r="D10" t="s">
        <v>15</v>
      </c>
      <c r="F10" t="s">
        <v>1599</v>
      </c>
      <c r="G10" t="s">
        <v>1606</v>
      </c>
      <c r="H10" s="5">
        <v>103</v>
      </c>
      <c r="J10">
        <v>100</v>
      </c>
      <c r="P10" s="6">
        <v>94</v>
      </c>
    </row>
    <row r="11" spans="1:16" x14ac:dyDescent="0.3">
      <c r="A11" s="6">
        <v>4</v>
      </c>
      <c r="B11" t="s">
        <v>21</v>
      </c>
      <c r="C11" s="2" t="s">
        <v>22</v>
      </c>
      <c r="D11" t="s">
        <v>15</v>
      </c>
      <c r="F11" t="s">
        <v>1599</v>
      </c>
      <c r="G11" t="s">
        <v>1606</v>
      </c>
      <c r="H11" s="5">
        <v>129</v>
      </c>
      <c r="J11">
        <v>55</v>
      </c>
      <c r="P11" s="6">
        <v>37</v>
      </c>
    </row>
    <row r="12" spans="1:16" x14ac:dyDescent="0.3">
      <c r="A12" s="6">
        <v>5</v>
      </c>
      <c r="B12" t="s">
        <v>23</v>
      </c>
      <c r="C12" s="2">
        <v>31295</v>
      </c>
      <c r="D12" t="s">
        <v>15</v>
      </c>
      <c r="F12" t="s">
        <v>1599</v>
      </c>
      <c r="G12" t="s">
        <v>1606</v>
      </c>
      <c r="H12" s="5">
        <v>48</v>
      </c>
      <c r="J12">
        <v>35</v>
      </c>
      <c r="P12" s="6">
        <v>24</v>
      </c>
    </row>
    <row r="13" spans="1:16" x14ac:dyDescent="0.3">
      <c r="A13" s="6">
        <v>6</v>
      </c>
      <c r="B13" t="s">
        <v>24</v>
      </c>
      <c r="D13" t="s">
        <v>15</v>
      </c>
      <c r="F13" t="s">
        <v>1599</v>
      </c>
      <c r="G13" t="s">
        <v>1606</v>
      </c>
      <c r="H13" s="5">
        <v>207</v>
      </c>
      <c r="J13">
        <v>50</v>
      </c>
      <c r="P13" s="6">
        <v>37</v>
      </c>
    </row>
    <row r="14" spans="1:16" x14ac:dyDescent="0.3">
      <c r="A14" s="6">
        <v>7</v>
      </c>
      <c r="B14" t="s">
        <v>25</v>
      </c>
      <c r="D14" t="s">
        <v>15</v>
      </c>
      <c r="F14" t="s">
        <v>1599</v>
      </c>
      <c r="G14" t="s">
        <v>1606</v>
      </c>
      <c r="H14" s="5">
        <v>14</v>
      </c>
      <c r="J14">
        <v>120</v>
      </c>
      <c r="P14" s="6">
        <v>90</v>
      </c>
    </row>
    <row r="15" spans="1:16" x14ac:dyDescent="0.3">
      <c r="A15" s="6">
        <v>8</v>
      </c>
      <c r="B15" t="s">
        <v>26</v>
      </c>
      <c r="D15" t="s">
        <v>15</v>
      </c>
      <c r="F15" t="s">
        <v>1599</v>
      </c>
      <c r="G15" t="s">
        <v>1606</v>
      </c>
      <c r="H15" s="5">
        <f>22+28+9</f>
        <v>59</v>
      </c>
      <c r="J15">
        <v>55</v>
      </c>
      <c r="P15" s="6">
        <v>40</v>
      </c>
    </row>
    <row r="16" spans="1:16" x14ac:dyDescent="0.3">
      <c r="A16" s="6">
        <v>9</v>
      </c>
      <c r="B16" t="s">
        <v>27</v>
      </c>
      <c r="D16" t="s">
        <v>15</v>
      </c>
      <c r="F16" t="s">
        <v>1599</v>
      </c>
      <c r="G16" t="s">
        <v>1606</v>
      </c>
      <c r="H16" s="5">
        <v>9</v>
      </c>
      <c r="J16">
        <v>75</v>
      </c>
      <c r="P16" s="6">
        <v>60</v>
      </c>
    </row>
    <row r="17" spans="1:16" x14ac:dyDescent="0.3">
      <c r="A17" s="6">
        <v>10</v>
      </c>
      <c r="B17" t="s">
        <v>29</v>
      </c>
      <c r="C17" s="2" t="s">
        <v>28</v>
      </c>
      <c r="D17" t="s">
        <v>15</v>
      </c>
      <c r="F17" t="s">
        <v>1599</v>
      </c>
      <c r="G17" t="s">
        <v>1606</v>
      </c>
      <c r="H17" s="5">
        <v>90</v>
      </c>
      <c r="J17">
        <v>150</v>
      </c>
      <c r="P17" s="6">
        <v>112</v>
      </c>
    </row>
    <row r="18" spans="1:16" x14ac:dyDescent="0.3">
      <c r="A18" s="6">
        <v>11</v>
      </c>
      <c r="B18" t="s">
        <v>30</v>
      </c>
      <c r="C18" s="2" t="s">
        <v>31</v>
      </c>
      <c r="D18" t="s">
        <v>15</v>
      </c>
      <c r="F18" t="s">
        <v>1599</v>
      </c>
      <c r="G18" t="s">
        <v>1606</v>
      </c>
      <c r="H18" s="5">
        <v>14</v>
      </c>
      <c r="J18">
        <v>40</v>
      </c>
      <c r="P18" s="6">
        <v>29</v>
      </c>
    </row>
    <row r="19" spans="1:16" x14ac:dyDescent="0.3">
      <c r="A19" s="6">
        <v>12</v>
      </c>
      <c r="B19" t="s">
        <v>32</v>
      </c>
      <c r="C19" s="2" t="s">
        <v>33</v>
      </c>
      <c r="D19" t="s">
        <v>15</v>
      </c>
      <c r="F19" t="s">
        <v>1599</v>
      </c>
      <c r="G19" t="s">
        <v>1606</v>
      </c>
      <c r="H19" s="5">
        <v>12</v>
      </c>
      <c r="J19">
        <v>40</v>
      </c>
      <c r="P19" s="6">
        <v>29</v>
      </c>
    </row>
    <row r="20" spans="1:16" x14ac:dyDescent="0.3">
      <c r="A20" s="6">
        <v>13</v>
      </c>
      <c r="B20" t="s">
        <v>34</v>
      </c>
      <c r="D20" t="s">
        <v>15</v>
      </c>
      <c r="F20" t="s">
        <v>1599</v>
      </c>
      <c r="G20" t="s">
        <v>1606</v>
      </c>
      <c r="H20" s="5">
        <v>187</v>
      </c>
      <c r="J20">
        <v>25</v>
      </c>
      <c r="P20" s="6">
        <v>19</v>
      </c>
    </row>
    <row r="21" spans="1:16" x14ac:dyDescent="0.3">
      <c r="A21" s="6">
        <v>14</v>
      </c>
      <c r="B21" t="s">
        <v>36</v>
      </c>
      <c r="C21" s="2" t="s">
        <v>35</v>
      </c>
      <c r="D21" t="s">
        <v>15</v>
      </c>
      <c r="F21" t="s">
        <v>1599</v>
      </c>
      <c r="G21" t="s">
        <v>1606</v>
      </c>
      <c r="H21" s="5">
        <v>15</v>
      </c>
      <c r="J21">
        <v>150</v>
      </c>
      <c r="P21" s="6">
        <v>120</v>
      </c>
    </row>
    <row r="22" spans="1:16" x14ac:dyDescent="0.3">
      <c r="A22" s="6">
        <v>15</v>
      </c>
      <c r="B22" t="s">
        <v>37</v>
      </c>
      <c r="C22" s="2">
        <v>780</v>
      </c>
      <c r="D22" t="s">
        <v>15</v>
      </c>
      <c r="F22" t="s">
        <v>1599</v>
      </c>
      <c r="G22" t="s">
        <v>1606</v>
      </c>
      <c r="H22" s="5">
        <v>37</v>
      </c>
      <c r="J22">
        <v>100</v>
      </c>
      <c r="P22" s="6">
        <v>78</v>
      </c>
    </row>
    <row r="23" spans="1:16" x14ac:dyDescent="0.3">
      <c r="A23" s="6">
        <v>16</v>
      </c>
      <c r="B23" t="s">
        <v>38</v>
      </c>
      <c r="D23" t="s">
        <v>15</v>
      </c>
      <c r="F23" t="s">
        <v>1599</v>
      </c>
      <c r="G23" t="s">
        <v>1606</v>
      </c>
      <c r="H23" s="5">
        <v>284</v>
      </c>
      <c r="J23">
        <v>23</v>
      </c>
      <c r="P23" s="6">
        <v>18</v>
      </c>
    </row>
    <row r="24" spans="1:16" x14ac:dyDescent="0.3">
      <c r="A24" s="6">
        <v>17</v>
      </c>
      <c r="B24" t="s">
        <v>39</v>
      </c>
      <c r="C24" s="2" t="s">
        <v>40</v>
      </c>
      <c r="D24" t="s">
        <v>15</v>
      </c>
      <c r="F24" t="s">
        <v>1599</v>
      </c>
      <c r="G24" t="s">
        <v>1606</v>
      </c>
      <c r="H24" s="5">
        <v>31</v>
      </c>
      <c r="J24">
        <v>95</v>
      </c>
      <c r="P24" s="6">
        <v>64</v>
      </c>
    </row>
    <row r="25" spans="1:16" x14ac:dyDescent="0.3">
      <c r="A25" s="6">
        <v>18</v>
      </c>
      <c r="B25" t="s">
        <v>41</v>
      </c>
      <c r="C25" s="2" t="s">
        <v>42</v>
      </c>
      <c r="D25" t="s">
        <v>15</v>
      </c>
      <c r="F25" t="s">
        <v>1599</v>
      </c>
      <c r="G25" t="s">
        <v>1606</v>
      </c>
      <c r="H25" s="5">
        <v>190</v>
      </c>
      <c r="J25">
        <v>38</v>
      </c>
      <c r="P25" s="6">
        <v>26</v>
      </c>
    </row>
    <row r="26" spans="1:16" x14ac:dyDescent="0.3">
      <c r="A26" s="6">
        <v>19</v>
      </c>
      <c r="B26" t="s">
        <v>43</v>
      </c>
      <c r="C26" s="2" t="s">
        <v>44</v>
      </c>
      <c r="D26" t="s">
        <v>15</v>
      </c>
      <c r="F26" t="s">
        <v>1599</v>
      </c>
      <c r="G26" t="s">
        <v>1606</v>
      </c>
      <c r="H26" s="5">
        <v>65</v>
      </c>
      <c r="J26">
        <v>75</v>
      </c>
      <c r="P26" s="6">
        <v>59</v>
      </c>
    </row>
    <row r="27" spans="1:16" x14ac:dyDescent="0.3">
      <c r="A27" s="6">
        <v>20</v>
      </c>
      <c r="B27" t="s">
        <v>45</v>
      </c>
      <c r="C27" s="2" t="s">
        <v>46</v>
      </c>
      <c r="D27" t="s">
        <v>15</v>
      </c>
      <c r="F27" t="s">
        <v>1599</v>
      </c>
      <c r="G27" t="s">
        <v>1606</v>
      </c>
      <c r="H27" s="5">
        <f>87+117</f>
        <v>204</v>
      </c>
      <c r="J27">
        <v>45</v>
      </c>
      <c r="P27" s="6">
        <v>32</v>
      </c>
    </row>
    <row r="28" spans="1:16" x14ac:dyDescent="0.3">
      <c r="A28" s="6">
        <v>21</v>
      </c>
      <c r="B28" t="s">
        <v>47</v>
      </c>
      <c r="C28" s="2" t="s">
        <v>48</v>
      </c>
      <c r="D28" t="s">
        <v>15</v>
      </c>
      <c r="F28" t="s">
        <v>1599</v>
      </c>
      <c r="G28" t="s">
        <v>1606</v>
      </c>
      <c r="H28" s="5">
        <f>15+4</f>
        <v>19</v>
      </c>
      <c r="J28">
        <v>110</v>
      </c>
      <c r="P28" s="6">
        <v>81</v>
      </c>
    </row>
    <row r="29" spans="1:16" x14ac:dyDescent="0.3">
      <c r="A29" s="6">
        <v>22</v>
      </c>
      <c r="B29" t="s">
        <v>49</v>
      </c>
      <c r="C29" s="2" t="s">
        <v>50</v>
      </c>
      <c r="D29" t="s">
        <v>15</v>
      </c>
      <c r="F29" t="s">
        <v>1599</v>
      </c>
      <c r="G29" t="s">
        <v>1606</v>
      </c>
      <c r="H29" s="5">
        <v>61</v>
      </c>
      <c r="J29">
        <v>95</v>
      </c>
      <c r="P29" s="6">
        <v>74</v>
      </c>
    </row>
    <row r="30" spans="1:16" x14ac:dyDescent="0.3">
      <c r="A30" s="6">
        <v>23</v>
      </c>
      <c r="B30" t="s">
        <v>51</v>
      </c>
      <c r="C30" s="2" t="s">
        <v>52</v>
      </c>
      <c r="D30" t="s">
        <v>15</v>
      </c>
      <c r="F30" t="s">
        <v>1599</v>
      </c>
      <c r="G30" t="s">
        <v>1606</v>
      </c>
      <c r="H30" s="5">
        <v>88</v>
      </c>
      <c r="J30">
        <v>40</v>
      </c>
      <c r="P30" s="6">
        <v>22</v>
      </c>
    </row>
    <row r="31" spans="1:16" x14ac:dyDescent="0.3">
      <c r="A31" s="6">
        <v>24</v>
      </c>
      <c r="B31" t="s">
        <v>53</v>
      </c>
      <c r="C31" s="2" t="s">
        <v>54</v>
      </c>
      <c r="D31" t="s">
        <v>15</v>
      </c>
      <c r="F31" t="s">
        <v>1599</v>
      </c>
      <c r="G31" t="s">
        <v>1606</v>
      </c>
      <c r="H31" s="5">
        <v>238</v>
      </c>
      <c r="J31">
        <v>60</v>
      </c>
      <c r="P31" s="6">
        <v>50</v>
      </c>
    </row>
    <row r="32" spans="1:16" x14ac:dyDescent="0.3">
      <c r="A32" s="6">
        <v>25</v>
      </c>
      <c r="B32" t="s">
        <v>55</v>
      </c>
      <c r="C32" s="2" t="s">
        <v>56</v>
      </c>
      <c r="D32" t="s">
        <v>15</v>
      </c>
      <c r="F32" t="s">
        <v>1599</v>
      </c>
      <c r="G32" t="s">
        <v>1606</v>
      </c>
      <c r="H32" s="5">
        <v>155</v>
      </c>
      <c r="J32">
        <v>60</v>
      </c>
      <c r="P32" s="6">
        <v>37</v>
      </c>
    </row>
    <row r="33" spans="1:16" x14ac:dyDescent="0.3">
      <c r="A33" s="6">
        <v>26</v>
      </c>
      <c r="B33" t="s">
        <v>60</v>
      </c>
      <c r="D33" t="s">
        <v>15</v>
      </c>
      <c r="F33" t="s">
        <v>1599</v>
      </c>
      <c r="G33" t="s">
        <v>1606</v>
      </c>
      <c r="H33" s="5">
        <v>54</v>
      </c>
      <c r="J33">
        <v>60</v>
      </c>
      <c r="P33" s="6">
        <v>45</v>
      </c>
    </row>
    <row r="34" spans="1:16" x14ac:dyDescent="0.3">
      <c r="A34" s="6">
        <v>27</v>
      </c>
      <c r="B34" t="s">
        <v>57</v>
      </c>
      <c r="C34" s="2" t="s">
        <v>58</v>
      </c>
      <c r="D34" t="s">
        <v>15</v>
      </c>
      <c r="F34" t="s">
        <v>1599</v>
      </c>
      <c r="G34" t="s">
        <v>1606</v>
      </c>
      <c r="H34" s="5">
        <v>33</v>
      </c>
      <c r="J34">
        <v>105</v>
      </c>
      <c r="P34" s="6">
        <v>80</v>
      </c>
    </row>
    <row r="35" spans="1:16" x14ac:dyDescent="0.3">
      <c r="A35" s="6">
        <v>28</v>
      </c>
      <c r="B35" t="s">
        <v>59</v>
      </c>
      <c r="D35" t="s">
        <v>15</v>
      </c>
      <c r="F35" t="s">
        <v>1599</v>
      </c>
      <c r="G35" t="s">
        <v>1606</v>
      </c>
      <c r="H35" s="5">
        <v>4</v>
      </c>
      <c r="J35">
        <v>45</v>
      </c>
      <c r="P35" s="6">
        <v>34</v>
      </c>
    </row>
    <row r="36" spans="1:16" x14ac:dyDescent="0.3">
      <c r="A36" s="6">
        <v>29</v>
      </c>
      <c r="B36" t="s">
        <v>61</v>
      </c>
      <c r="C36" s="2">
        <v>1235</v>
      </c>
      <c r="D36" t="s">
        <v>15</v>
      </c>
      <c r="F36" t="s">
        <v>1599</v>
      </c>
      <c r="G36" t="s">
        <v>1606</v>
      </c>
      <c r="H36" s="5">
        <v>84</v>
      </c>
      <c r="J36">
        <v>40</v>
      </c>
      <c r="P36" s="6">
        <v>30</v>
      </c>
    </row>
    <row r="37" spans="1:16" x14ac:dyDescent="0.3">
      <c r="A37" s="6">
        <v>30</v>
      </c>
      <c r="B37" t="s">
        <v>62</v>
      </c>
      <c r="C37" s="2" t="s">
        <v>63</v>
      </c>
      <c r="D37" t="s">
        <v>15</v>
      </c>
      <c r="F37" t="s">
        <v>1599</v>
      </c>
      <c r="G37" t="s">
        <v>1606</v>
      </c>
      <c r="H37" s="5">
        <v>436</v>
      </c>
      <c r="J37">
        <v>25</v>
      </c>
      <c r="P37" s="6">
        <v>17</v>
      </c>
    </row>
    <row r="38" spans="1:16" x14ac:dyDescent="0.3">
      <c r="A38" s="6">
        <v>31</v>
      </c>
      <c r="B38" t="s">
        <v>64</v>
      </c>
      <c r="C38" s="2" t="s">
        <v>65</v>
      </c>
      <c r="D38" t="s">
        <v>15</v>
      </c>
      <c r="F38" t="s">
        <v>1599</v>
      </c>
      <c r="G38" t="s">
        <v>1606</v>
      </c>
      <c r="H38" s="5">
        <v>52</v>
      </c>
      <c r="J38">
        <v>40</v>
      </c>
      <c r="P38" s="6">
        <v>29</v>
      </c>
    </row>
    <row r="39" spans="1:16" x14ac:dyDescent="0.3">
      <c r="A39" s="6">
        <v>32</v>
      </c>
      <c r="B39" t="s">
        <v>66</v>
      </c>
      <c r="C39" s="2" t="s">
        <v>67</v>
      </c>
      <c r="D39" t="s">
        <v>15</v>
      </c>
      <c r="F39" t="s">
        <v>1599</v>
      </c>
      <c r="G39" t="s">
        <v>1606</v>
      </c>
      <c r="H39" s="5">
        <v>23</v>
      </c>
      <c r="J39">
        <v>130</v>
      </c>
      <c r="P39" s="6">
        <v>88</v>
      </c>
    </row>
    <row r="40" spans="1:16" x14ac:dyDescent="0.3">
      <c r="A40" s="6">
        <v>33</v>
      </c>
      <c r="B40" t="s">
        <v>68</v>
      </c>
      <c r="C40" s="2" t="s">
        <v>69</v>
      </c>
      <c r="D40" t="s">
        <v>15</v>
      </c>
      <c r="F40" t="s">
        <v>1599</v>
      </c>
      <c r="G40" t="s">
        <v>1606</v>
      </c>
      <c r="H40" s="5">
        <v>706</v>
      </c>
      <c r="J40">
        <v>65</v>
      </c>
      <c r="P40" s="6">
        <v>47</v>
      </c>
    </row>
    <row r="41" spans="1:16" x14ac:dyDescent="0.3">
      <c r="A41" s="6">
        <v>34</v>
      </c>
      <c r="B41" t="s">
        <v>70</v>
      </c>
      <c r="C41" s="2" t="s">
        <v>71</v>
      </c>
      <c r="D41" t="s">
        <v>15</v>
      </c>
      <c r="F41" t="s">
        <v>1599</v>
      </c>
      <c r="G41" t="s">
        <v>1606</v>
      </c>
      <c r="H41" s="5">
        <v>31</v>
      </c>
      <c r="J41">
        <v>90</v>
      </c>
      <c r="P41" s="6">
        <v>70</v>
      </c>
    </row>
    <row r="42" spans="1:16" x14ac:dyDescent="0.3">
      <c r="A42" s="6">
        <v>35</v>
      </c>
      <c r="B42" t="s">
        <v>72</v>
      </c>
      <c r="C42" s="2" t="s">
        <v>73</v>
      </c>
      <c r="D42" t="s">
        <v>15</v>
      </c>
      <c r="F42" t="s">
        <v>1599</v>
      </c>
      <c r="G42" t="s">
        <v>1606</v>
      </c>
      <c r="H42" s="5">
        <v>30</v>
      </c>
      <c r="J42">
        <v>40</v>
      </c>
      <c r="P42" s="6">
        <v>30</v>
      </c>
    </row>
    <row r="43" spans="1:16" x14ac:dyDescent="0.3">
      <c r="A43" s="6">
        <v>36</v>
      </c>
      <c r="B43" t="s">
        <v>74</v>
      </c>
      <c r="C43" s="2" t="s">
        <v>75</v>
      </c>
      <c r="D43" t="s">
        <v>15</v>
      </c>
      <c r="F43" t="s">
        <v>1599</v>
      </c>
      <c r="G43" t="s">
        <v>1606</v>
      </c>
      <c r="H43" s="5">
        <v>53</v>
      </c>
      <c r="J43">
        <v>95</v>
      </c>
      <c r="P43" s="6">
        <v>72</v>
      </c>
    </row>
    <row r="44" spans="1:16" x14ac:dyDescent="0.3">
      <c r="A44" s="6">
        <v>37</v>
      </c>
      <c r="B44" t="s">
        <v>30</v>
      </c>
      <c r="C44" s="2" t="s">
        <v>76</v>
      </c>
      <c r="D44" t="s">
        <v>15</v>
      </c>
      <c r="F44" t="s">
        <v>1599</v>
      </c>
      <c r="G44" t="s">
        <v>1606</v>
      </c>
      <c r="H44" s="5">
        <v>32</v>
      </c>
      <c r="J44">
        <v>75</v>
      </c>
      <c r="P44" s="6">
        <v>59</v>
      </c>
    </row>
    <row r="45" spans="1:16" x14ac:dyDescent="0.3">
      <c r="A45" s="6">
        <v>38</v>
      </c>
      <c r="B45" t="s">
        <v>77</v>
      </c>
      <c r="C45" s="2">
        <v>2110</v>
      </c>
      <c r="D45" t="s">
        <v>15</v>
      </c>
      <c r="F45" t="s">
        <v>1599</v>
      </c>
      <c r="G45" t="s">
        <v>1606</v>
      </c>
      <c r="H45" s="5">
        <v>36</v>
      </c>
      <c r="J45">
        <v>60</v>
      </c>
      <c r="P45" s="6">
        <v>46</v>
      </c>
    </row>
    <row r="46" spans="1:16" x14ac:dyDescent="0.3">
      <c r="A46" s="6">
        <v>39</v>
      </c>
      <c r="B46" t="s">
        <v>78</v>
      </c>
      <c r="C46" s="2" t="s">
        <v>79</v>
      </c>
      <c r="D46" t="s">
        <v>15</v>
      </c>
      <c r="F46" t="s">
        <v>1599</v>
      </c>
      <c r="G46" t="s">
        <v>1606</v>
      </c>
      <c r="H46" s="5">
        <v>27</v>
      </c>
      <c r="J46">
        <v>145</v>
      </c>
      <c r="P46" s="6">
        <v>110</v>
      </c>
    </row>
    <row r="47" spans="1:16" x14ac:dyDescent="0.3">
      <c r="A47" s="6">
        <v>40</v>
      </c>
      <c r="B47" t="s">
        <v>80</v>
      </c>
      <c r="C47" s="2" t="s">
        <v>81</v>
      </c>
      <c r="D47" t="s">
        <v>15</v>
      </c>
      <c r="F47" t="s">
        <v>1599</v>
      </c>
      <c r="G47" t="s">
        <v>1606</v>
      </c>
      <c r="H47" s="5">
        <v>39</v>
      </c>
      <c r="J47">
        <v>100</v>
      </c>
      <c r="P47" s="6">
        <v>70</v>
      </c>
    </row>
    <row r="48" spans="1:16" x14ac:dyDescent="0.3">
      <c r="A48" s="6">
        <v>41</v>
      </c>
      <c r="B48" t="s">
        <v>82</v>
      </c>
      <c r="C48" s="2">
        <v>66122</v>
      </c>
      <c r="D48" t="s">
        <v>15</v>
      </c>
      <c r="F48" t="s">
        <v>1599</v>
      </c>
      <c r="G48" t="s">
        <v>1606</v>
      </c>
      <c r="H48" s="5">
        <v>94</v>
      </c>
      <c r="J48">
        <v>35</v>
      </c>
      <c r="P48" s="6">
        <v>21</v>
      </c>
    </row>
    <row r="49" spans="1:16" x14ac:dyDescent="0.3">
      <c r="A49" s="6">
        <v>42</v>
      </c>
      <c r="B49" t="s">
        <v>83</v>
      </c>
      <c r="C49" s="2">
        <v>996</v>
      </c>
      <c r="D49" t="s">
        <v>15</v>
      </c>
      <c r="F49" t="s">
        <v>1599</v>
      </c>
      <c r="G49" t="s">
        <v>1606</v>
      </c>
      <c r="H49" s="5">
        <v>145</v>
      </c>
      <c r="J49">
        <v>35</v>
      </c>
      <c r="P49" s="6">
        <v>21</v>
      </c>
    </row>
    <row r="50" spans="1:16" x14ac:dyDescent="0.3">
      <c r="A50" s="6">
        <v>43</v>
      </c>
      <c r="B50" t="s">
        <v>84</v>
      </c>
      <c r="C50" s="2" t="s">
        <v>85</v>
      </c>
      <c r="D50" t="s">
        <v>15</v>
      </c>
      <c r="F50" t="s">
        <v>1599</v>
      </c>
      <c r="G50" t="s">
        <v>1606</v>
      </c>
      <c r="H50" s="5">
        <f>240+50</f>
        <v>290</v>
      </c>
      <c r="J50">
        <v>35</v>
      </c>
      <c r="P50" s="6">
        <v>21</v>
      </c>
    </row>
    <row r="51" spans="1:16" x14ac:dyDescent="0.3">
      <c r="A51" s="6">
        <v>44</v>
      </c>
      <c r="B51" t="s">
        <v>86</v>
      </c>
      <c r="C51" s="2" t="s">
        <v>87</v>
      </c>
      <c r="D51" t="s">
        <v>15</v>
      </c>
      <c r="F51" t="s">
        <v>1599</v>
      </c>
      <c r="G51" t="s">
        <v>1606</v>
      </c>
      <c r="H51" s="5">
        <v>8</v>
      </c>
      <c r="J51">
        <v>110</v>
      </c>
      <c r="P51" s="6">
        <v>78</v>
      </c>
    </row>
    <row r="52" spans="1:16" x14ac:dyDescent="0.3">
      <c r="A52" s="6">
        <v>45</v>
      </c>
      <c r="B52" t="s">
        <v>89</v>
      </c>
      <c r="C52" s="2" t="s">
        <v>88</v>
      </c>
      <c r="D52" t="s">
        <v>15</v>
      </c>
      <c r="F52" t="s">
        <v>1599</v>
      </c>
      <c r="G52" t="s">
        <v>1606</v>
      </c>
      <c r="H52" s="5">
        <v>61</v>
      </c>
      <c r="J52">
        <v>75</v>
      </c>
      <c r="P52" s="6">
        <v>58</v>
      </c>
    </row>
    <row r="53" spans="1:16" x14ac:dyDescent="0.3">
      <c r="A53" s="6">
        <v>46</v>
      </c>
      <c r="B53" t="s">
        <v>30</v>
      </c>
      <c r="C53" s="2" t="s">
        <v>90</v>
      </c>
      <c r="D53" t="s">
        <v>15</v>
      </c>
      <c r="F53" t="s">
        <v>1599</v>
      </c>
      <c r="G53" t="s">
        <v>1606</v>
      </c>
      <c r="H53" s="5">
        <v>13</v>
      </c>
      <c r="J53">
        <v>90</v>
      </c>
      <c r="P53" s="6">
        <v>68</v>
      </c>
    </row>
    <row r="54" spans="1:16" x14ac:dyDescent="0.3">
      <c r="A54" s="6">
        <v>47</v>
      </c>
      <c r="B54" t="s">
        <v>91</v>
      </c>
      <c r="C54" s="2" t="s">
        <v>92</v>
      </c>
      <c r="D54" t="s">
        <v>15</v>
      </c>
      <c r="F54" t="s">
        <v>1599</v>
      </c>
      <c r="G54" t="s">
        <v>1606</v>
      </c>
      <c r="H54" s="5">
        <v>48</v>
      </c>
      <c r="J54">
        <v>90</v>
      </c>
      <c r="P54" s="6">
        <v>65</v>
      </c>
    </row>
    <row r="55" spans="1:16" x14ac:dyDescent="0.3">
      <c r="A55" s="6">
        <v>48</v>
      </c>
      <c r="B55" t="s">
        <v>93</v>
      </c>
      <c r="C55" s="2" t="s">
        <v>94</v>
      </c>
      <c r="D55" t="s">
        <v>15</v>
      </c>
      <c r="F55" t="s">
        <v>1599</v>
      </c>
      <c r="G55" t="s">
        <v>1606</v>
      </c>
      <c r="H55" s="5">
        <v>54</v>
      </c>
      <c r="J55">
        <v>60</v>
      </c>
      <c r="P55" s="6">
        <v>42</v>
      </c>
    </row>
    <row r="56" spans="1:16" x14ac:dyDescent="0.3">
      <c r="A56" s="6">
        <v>49</v>
      </c>
      <c r="B56" t="s">
        <v>95</v>
      </c>
      <c r="C56" s="2" t="s">
        <v>96</v>
      </c>
      <c r="D56" t="s">
        <v>15</v>
      </c>
      <c r="F56" t="s">
        <v>1599</v>
      </c>
      <c r="G56" t="s">
        <v>1606</v>
      </c>
      <c r="H56" s="5">
        <v>170</v>
      </c>
      <c r="J56">
        <v>30</v>
      </c>
      <c r="P56" s="6">
        <v>13</v>
      </c>
    </row>
    <row r="57" spans="1:16" x14ac:dyDescent="0.3">
      <c r="A57" s="6">
        <v>50</v>
      </c>
      <c r="B57" t="s">
        <v>97</v>
      </c>
      <c r="C57" s="2" t="s">
        <v>98</v>
      </c>
      <c r="D57" t="s">
        <v>15</v>
      </c>
      <c r="F57" t="s">
        <v>1599</v>
      </c>
      <c r="G57" t="s">
        <v>1606</v>
      </c>
      <c r="H57" s="5">
        <v>492</v>
      </c>
      <c r="J57">
        <v>80</v>
      </c>
      <c r="P57" s="6">
        <v>65</v>
      </c>
    </row>
    <row r="58" spans="1:16" x14ac:dyDescent="0.3">
      <c r="A58" s="6">
        <v>51</v>
      </c>
      <c r="B58" t="s">
        <v>74</v>
      </c>
      <c r="C58" s="2" t="s">
        <v>99</v>
      </c>
      <c r="D58" t="s">
        <v>15</v>
      </c>
      <c r="F58" t="s">
        <v>1599</v>
      </c>
      <c r="G58" t="s">
        <v>1606</v>
      </c>
      <c r="H58" s="5">
        <f>33+5</f>
        <v>38</v>
      </c>
      <c r="J58">
        <v>160</v>
      </c>
      <c r="P58" s="6">
        <v>140</v>
      </c>
    </row>
    <row r="59" spans="1:16" x14ac:dyDescent="0.3">
      <c r="A59" s="6">
        <v>52</v>
      </c>
      <c r="B59" t="s">
        <v>30</v>
      </c>
      <c r="C59" s="2">
        <v>319</v>
      </c>
      <c r="D59" t="s">
        <v>15</v>
      </c>
      <c r="F59" t="s">
        <v>1599</v>
      </c>
      <c r="G59" t="s">
        <v>1606</v>
      </c>
      <c r="H59" s="5">
        <v>270</v>
      </c>
      <c r="J59">
        <v>35</v>
      </c>
      <c r="P59" s="6">
        <v>20</v>
      </c>
    </row>
    <row r="60" spans="1:16" x14ac:dyDescent="0.3">
      <c r="A60" s="6">
        <v>53</v>
      </c>
      <c r="B60" t="s">
        <v>100</v>
      </c>
      <c r="D60" t="s">
        <v>15</v>
      </c>
      <c r="F60" t="s">
        <v>1599</v>
      </c>
      <c r="G60" t="s">
        <v>1606</v>
      </c>
      <c r="H60" s="5">
        <v>204</v>
      </c>
      <c r="J60">
        <v>50</v>
      </c>
      <c r="P60" s="6">
        <v>35</v>
      </c>
    </row>
    <row r="61" spans="1:16" x14ac:dyDescent="0.3">
      <c r="A61" s="6">
        <v>54</v>
      </c>
      <c r="B61" t="s">
        <v>101</v>
      </c>
      <c r="D61" t="s">
        <v>15</v>
      </c>
      <c r="F61" t="s">
        <v>1599</v>
      </c>
      <c r="G61" t="s">
        <v>1606</v>
      </c>
      <c r="H61" s="5">
        <v>136</v>
      </c>
      <c r="J61">
        <v>50</v>
      </c>
      <c r="P61" s="6">
        <v>35</v>
      </c>
    </row>
    <row r="62" spans="1:16" x14ac:dyDescent="0.3">
      <c r="A62" s="6">
        <v>55</v>
      </c>
      <c r="B62" t="s">
        <v>102</v>
      </c>
      <c r="C62" s="2">
        <v>2255</v>
      </c>
      <c r="D62" t="s">
        <v>15</v>
      </c>
      <c r="F62" t="s">
        <v>1599</v>
      </c>
      <c r="G62" t="s">
        <v>1606</v>
      </c>
      <c r="H62" s="5">
        <v>46</v>
      </c>
      <c r="J62">
        <v>120</v>
      </c>
      <c r="P62" s="6">
        <v>95</v>
      </c>
    </row>
    <row r="63" spans="1:16" x14ac:dyDescent="0.3">
      <c r="A63" s="6">
        <v>56</v>
      </c>
      <c r="B63" t="s">
        <v>103</v>
      </c>
      <c r="C63" s="2" t="s">
        <v>104</v>
      </c>
      <c r="D63" t="s">
        <v>15</v>
      </c>
      <c r="F63" t="s">
        <v>1599</v>
      </c>
      <c r="G63" t="s">
        <v>1606</v>
      </c>
      <c r="H63" s="5">
        <f>150+170</f>
        <v>320</v>
      </c>
      <c r="J63">
        <v>80</v>
      </c>
      <c r="P63" s="6">
        <v>51</v>
      </c>
    </row>
    <row r="64" spans="1:16" x14ac:dyDescent="0.3">
      <c r="A64" s="6">
        <v>57</v>
      </c>
      <c r="B64" t="s">
        <v>102</v>
      </c>
      <c r="C64" s="2">
        <v>2244</v>
      </c>
      <c r="D64" t="s">
        <v>15</v>
      </c>
      <c r="F64" t="s">
        <v>1599</v>
      </c>
      <c r="G64" t="s">
        <v>1606</v>
      </c>
      <c r="H64" s="5">
        <v>36</v>
      </c>
      <c r="J64">
        <v>120</v>
      </c>
      <c r="P64" s="6">
        <v>98</v>
      </c>
    </row>
    <row r="65" spans="1:16" x14ac:dyDescent="0.3">
      <c r="A65" s="6">
        <v>58</v>
      </c>
      <c r="B65" t="s">
        <v>105</v>
      </c>
      <c r="C65" s="2">
        <v>6602</v>
      </c>
      <c r="D65" t="s">
        <v>15</v>
      </c>
      <c r="F65" t="s">
        <v>1599</v>
      </c>
      <c r="G65" t="s">
        <v>1606</v>
      </c>
      <c r="H65" s="5">
        <v>65</v>
      </c>
      <c r="J65">
        <v>80</v>
      </c>
      <c r="P65" s="6">
        <v>52</v>
      </c>
    </row>
    <row r="66" spans="1:16" x14ac:dyDescent="0.3">
      <c r="A66" s="6">
        <v>59</v>
      </c>
      <c r="B66" t="s">
        <v>106</v>
      </c>
      <c r="D66" t="s">
        <v>15</v>
      </c>
      <c r="F66" t="s">
        <v>1599</v>
      </c>
      <c r="G66" t="s">
        <v>1606</v>
      </c>
      <c r="H66" s="5">
        <v>38</v>
      </c>
      <c r="J66">
        <v>70</v>
      </c>
      <c r="P66" s="6">
        <v>55</v>
      </c>
    </row>
    <row r="67" spans="1:16" x14ac:dyDescent="0.3">
      <c r="A67" s="6">
        <v>60</v>
      </c>
      <c r="B67" t="s">
        <v>102</v>
      </c>
      <c r="C67" s="2">
        <v>2288</v>
      </c>
      <c r="D67" t="s">
        <v>15</v>
      </c>
      <c r="F67" t="s">
        <v>1599</v>
      </c>
      <c r="G67" t="s">
        <v>1606</v>
      </c>
      <c r="H67" s="5">
        <v>86</v>
      </c>
      <c r="J67">
        <v>130</v>
      </c>
      <c r="P67" s="6">
        <v>103</v>
      </c>
    </row>
    <row r="68" spans="1:16" x14ac:dyDescent="0.3">
      <c r="A68" s="6">
        <v>61</v>
      </c>
      <c r="B68" t="s">
        <v>102</v>
      </c>
      <c r="C68" s="2" t="s">
        <v>107</v>
      </c>
      <c r="D68" t="s">
        <v>15</v>
      </c>
      <c r="F68" t="s">
        <v>1599</v>
      </c>
      <c r="G68" t="s">
        <v>1606</v>
      </c>
      <c r="H68" s="5">
        <v>36</v>
      </c>
      <c r="J68">
        <v>120</v>
      </c>
      <c r="P68" s="6">
        <v>100</v>
      </c>
    </row>
    <row r="69" spans="1:16" x14ac:dyDescent="0.3">
      <c r="A69" s="6">
        <v>62</v>
      </c>
      <c r="B69" t="s">
        <v>108</v>
      </c>
      <c r="C69" s="2">
        <v>6671</v>
      </c>
      <c r="D69" t="s">
        <v>15</v>
      </c>
      <c r="F69" t="s">
        <v>1599</v>
      </c>
      <c r="G69" t="s">
        <v>1606</v>
      </c>
      <c r="H69" s="5">
        <f>144+58</f>
        <v>202</v>
      </c>
      <c r="J69">
        <v>65</v>
      </c>
      <c r="P69" s="6">
        <v>40</v>
      </c>
    </row>
    <row r="70" spans="1:16" x14ac:dyDescent="0.3">
      <c r="A70" s="6">
        <v>63</v>
      </c>
      <c r="B70" t="s">
        <v>102</v>
      </c>
      <c r="C70" s="2">
        <v>2300</v>
      </c>
      <c r="D70" t="s">
        <v>15</v>
      </c>
      <c r="F70" t="s">
        <v>1599</v>
      </c>
      <c r="G70" t="s">
        <v>1606</v>
      </c>
      <c r="H70" s="5">
        <v>59</v>
      </c>
      <c r="J70">
        <v>110</v>
      </c>
      <c r="P70" s="6">
        <v>85</v>
      </c>
    </row>
    <row r="71" spans="1:16" x14ac:dyDescent="0.3">
      <c r="A71" s="6">
        <v>64</v>
      </c>
      <c r="B71" t="s">
        <v>109</v>
      </c>
      <c r="C71" s="2" t="s">
        <v>110</v>
      </c>
      <c r="D71" t="s">
        <v>15</v>
      </c>
      <c r="F71" t="s">
        <v>1599</v>
      </c>
      <c r="G71" t="s">
        <v>1606</v>
      </c>
      <c r="H71" s="5">
        <v>56</v>
      </c>
      <c r="J71">
        <v>85</v>
      </c>
      <c r="P71" s="6">
        <v>65</v>
      </c>
    </row>
    <row r="72" spans="1:16" x14ac:dyDescent="0.3">
      <c r="A72" s="6">
        <v>65</v>
      </c>
      <c r="B72" t="s">
        <v>111</v>
      </c>
      <c r="C72" s="2">
        <v>31555</v>
      </c>
      <c r="D72" t="s">
        <v>15</v>
      </c>
      <c r="F72" t="s">
        <v>1599</v>
      </c>
      <c r="G72" t="s">
        <v>1606</v>
      </c>
      <c r="H72" s="5">
        <v>79</v>
      </c>
      <c r="J72">
        <v>70</v>
      </c>
      <c r="P72" s="6">
        <v>55</v>
      </c>
    </row>
    <row r="73" spans="1:16" x14ac:dyDescent="0.3">
      <c r="A73" s="6">
        <v>66</v>
      </c>
      <c r="B73" t="s">
        <v>30</v>
      </c>
      <c r="C73" s="2" t="s">
        <v>112</v>
      </c>
      <c r="D73" t="s">
        <v>15</v>
      </c>
      <c r="F73" t="s">
        <v>1599</v>
      </c>
      <c r="G73" t="s">
        <v>1606</v>
      </c>
      <c r="H73" s="5">
        <v>37</v>
      </c>
      <c r="J73">
        <v>85</v>
      </c>
      <c r="P73" s="6">
        <v>65</v>
      </c>
    </row>
    <row r="74" spans="1:16" x14ac:dyDescent="0.3">
      <c r="A74" s="6">
        <v>67</v>
      </c>
      <c r="B74" t="s">
        <v>113</v>
      </c>
      <c r="C74" s="2" t="s">
        <v>114</v>
      </c>
      <c r="D74" t="s">
        <v>15</v>
      </c>
      <c r="F74" t="s">
        <v>1599</v>
      </c>
      <c r="G74" t="s">
        <v>1606</v>
      </c>
      <c r="H74" s="5">
        <v>250</v>
      </c>
      <c r="J74">
        <v>35</v>
      </c>
      <c r="P74" s="6">
        <v>20</v>
      </c>
    </row>
    <row r="75" spans="1:16" x14ac:dyDescent="0.3">
      <c r="A75" s="6">
        <v>68</v>
      </c>
      <c r="B75" t="s">
        <v>115</v>
      </c>
      <c r="C75" s="2" t="s">
        <v>116</v>
      </c>
      <c r="D75" t="s">
        <v>15</v>
      </c>
      <c r="F75" t="s">
        <v>1599</v>
      </c>
      <c r="G75" t="s">
        <v>1606</v>
      </c>
      <c r="H75" s="5">
        <v>32</v>
      </c>
      <c r="J75">
        <v>140</v>
      </c>
      <c r="P75" s="6">
        <v>105</v>
      </c>
    </row>
    <row r="76" spans="1:16" x14ac:dyDescent="0.3">
      <c r="A76" s="6">
        <v>69</v>
      </c>
      <c r="B76" t="s">
        <v>117</v>
      </c>
      <c r="C76" s="2">
        <v>218</v>
      </c>
      <c r="D76" t="s">
        <v>15</v>
      </c>
      <c r="F76" t="s">
        <v>1599</v>
      </c>
      <c r="G76" t="s">
        <v>1606</v>
      </c>
      <c r="H76" s="5">
        <v>35</v>
      </c>
      <c r="J76">
        <v>55</v>
      </c>
      <c r="P76" s="6">
        <v>42</v>
      </c>
    </row>
    <row r="77" spans="1:16" x14ac:dyDescent="0.3">
      <c r="A77" s="6">
        <v>70</v>
      </c>
      <c r="B77" t="s">
        <v>118</v>
      </c>
      <c r="C77" s="2" t="s">
        <v>119</v>
      </c>
      <c r="D77" t="s">
        <v>15</v>
      </c>
      <c r="F77" t="s">
        <v>1599</v>
      </c>
      <c r="G77" t="s">
        <v>1606</v>
      </c>
      <c r="H77" s="5">
        <v>467</v>
      </c>
      <c r="J77">
        <v>30</v>
      </c>
      <c r="P77" s="6">
        <v>21</v>
      </c>
    </row>
    <row r="78" spans="1:16" x14ac:dyDescent="0.3">
      <c r="A78" s="6">
        <v>71</v>
      </c>
      <c r="B78" t="s">
        <v>120</v>
      </c>
      <c r="C78" s="2">
        <v>1001</v>
      </c>
      <c r="D78" t="s">
        <v>15</v>
      </c>
      <c r="F78" t="s">
        <v>1599</v>
      </c>
      <c r="G78" t="s">
        <v>1606</v>
      </c>
      <c r="H78" s="5">
        <v>54</v>
      </c>
      <c r="J78">
        <v>60</v>
      </c>
      <c r="P78" s="6">
        <v>45</v>
      </c>
    </row>
    <row r="79" spans="1:16" x14ac:dyDescent="0.3">
      <c r="A79" s="6">
        <v>72</v>
      </c>
      <c r="B79" t="s">
        <v>121</v>
      </c>
      <c r="C79" s="2" t="s">
        <v>225</v>
      </c>
      <c r="D79" t="s">
        <v>15</v>
      </c>
      <c r="F79" t="s">
        <v>1599</v>
      </c>
      <c r="G79" t="s">
        <v>1606</v>
      </c>
      <c r="H79" s="5">
        <v>10</v>
      </c>
      <c r="J79">
        <v>75</v>
      </c>
      <c r="P79" s="6">
        <v>55</v>
      </c>
    </row>
    <row r="80" spans="1:16" x14ac:dyDescent="0.3">
      <c r="A80" s="6">
        <v>73</v>
      </c>
      <c r="B80" t="s">
        <v>122</v>
      </c>
      <c r="C80" s="2" t="s">
        <v>123</v>
      </c>
      <c r="D80" t="s">
        <v>15</v>
      </c>
      <c r="F80" t="s">
        <v>1599</v>
      </c>
      <c r="G80" t="s">
        <v>1606</v>
      </c>
      <c r="H80" s="5">
        <v>114</v>
      </c>
      <c r="J80">
        <v>50</v>
      </c>
      <c r="P80" s="6">
        <v>35</v>
      </c>
    </row>
    <row r="81" spans="1:16" x14ac:dyDescent="0.3">
      <c r="A81" s="6">
        <v>74</v>
      </c>
      <c r="B81" t="s">
        <v>124</v>
      </c>
      <c r="C81" s="2" t="s">
        <v>125</v>
      </c>
      <c r="D81" t="s">
        <v>15</v>
      </c>
      <c r="F81" t="s">
        <v>1599</v>
      </c>
      <c r="G81" t="s">
        <v>1606</v>
      </c>
      <c r="H81" s="5">
        <v>104</v>
      </c>
      <c r="J81">
        <v>80</v>
      </c>
      <c r="P81" s="6">
        <v>56</v>
      </c>
    </row>
    <row r="82" spans="1:16" x14ac:dyDescent="0.3">
      <c r="A82" s="6">
        <v>75</v>
      </c>
      <c r="B82" t="s">
        <v>126</v>
      </c>
      <c r="D82" t="s">
        <v>15</v>
      </c>
      <c r="F82" t="s">
        <v>1599</v>
      </c>
      <c r="G82" t="s">
        <v>1606</v>
      </c>
      <c r="H82" s="5">
        <v>84</v>
      </c>
      <c r="J82">
        <v>70</v>
      </c>
      <c r="P82" s="6">
        <v>55</v>
      </c>
    </row>
    <row r="83" spans="1:16" x14ac:dyDescent="0.3">
      <c r="A83" s="6">
        <v>76</v>
      </c>
      <c r="B83" t="s">
        <v>124</v>
      </c>
      <c r="C83" s="2" t="s">
        <v>127</v>
      </c>
      <c r="D83" t="s">
        <v>15</v>
      </c>
      <c r="F83" t="s">
        <v>1599</v>
      </c>
      <c r="G83" t="s">
        <v>1606</v>
      </c>
      <c r="H83" s="5">
        <v>126</v>
      </c>
      <c r="J83">
        <v>80</v>
      </c>
      <c r="P83" s="6">
        <v>56</v>
      </c>
    </row>
    <row r="84" spans="1:16" x14ac:dyDescent="0.3">
      <c r="A84" s="6">
        <v>77</v>
      </c>
      <c r="B84" t="s">
        <v>1242</v>
      </c>
      <c r="C84" s="2" t="s">
        <v>128</v>
      </c>
      <c r="D84" t="s">
        <v>15</v>
      </c>
      <c r="F84" t="s">
        <v>1599</v>
      </c>
      <c r="G84" t="s">
        <v>1606</v>
      </c>
      <c r="H84" s="5">
        <v>140</v>
      </c>
      <c r="J84">
        <v>95</v>
      </c>
      <c r="P84" s="6">
        <v>70</v>
      </c>
    </row>
    <row r="85" spans="1:16" x14ac:dyDescent="0.3">
      <c r="A85" s="6">
        <v>78</v>
      </c>
      <c r="B85" t="s">
        <v>129</v>
      </c>
      <c r="C85" s="2" t="s">
        <v>130</v>
      </c>
      <c r="D85" t="s">
        <v>15</v>
      </c>
      <c r="F85" t="s">
        <v>1599</v>
      </c>
      <c r="G85" t="s">
        <v>1606</v>
      </c>
      <c r="H85" s="5">
        <v>261</v>
      </c>
      <c r="J85">
        <v>35</v>
      </c>
      <c r="P85" s="6">
        <v>103</v>
      </c>
    </row>
    <row r="86" spans="1:16" x14ac:dyDescent="0.3">
      <c r="A86" s="6">
        <v>79</v>
      </c>
      <c r="B86" t="s">
        <v>131</v>
      </c>
      <c r="C86" s="2" t="s">
        <v>132</v>
      </c>
      <c r="D86" t="s">
        <v>15</v>
      </c>
      <c r="F86" t="s">
        <v>1599</v>
      </c>
      <c r="G86" t="s">
        <v>1606</v>
      </c>
      <c r="H86" s="5">
        <v>36</v>
      </c>
      <c r="J86">
        <v>80</v>
      </c>
      <c r="P86" s="6">
        <v>59</v>
      </c>
    </row>
    <row r="87" spans="1:16" x14ac:dyDescent="0.3">
      <c r="A87" s="6">
        <v>80</v>
      </c>
      <c r="B87" t="s">
        <v>64</v>
      </c>
      <c r="C87" s="2" t="s">
        <v>133</v>
      </c>
      <c r="D87" t="s">
        <v>15</v>
      </c>
      <c r="F87" t="s">
        <v>1599</v>
      </c>
      <c r="G87" t="s">
        <v>1606</v>
      </c>
      <c r="H87" s="5">
        <v>16</v>
      </c>
      <c r="J87">
        <v>165</v>
      </c>
      <c r="P87" s="6">
        <v>130</v>
      </c>
    </row>
    <row r="88" spans="1:16" x14ac:dyDescent="0.3">
      <c r="A88" s="6">
        <v>81</v>
      </c>
      <c r="B88" t="s">
        <v>134</v>
      </c>
      <c r="C88" s="2" t="s">
        <v>135</v>
      </c>
      <c r="D88" t="s">
        <v>15</v>
      </c>
      <c r="F88" t="s">
        <v>1599</v>
      </c>
      <c r="G88" t="s">
        <v>1606</v>
      </c>
      <c r="H88" s="5">
        <f>240+3</f>
        <v>243</v>
      </c>
      <c r="J88">
        <v>84</v>
      </c>
      <c r="P88" s="6">
        <v>55</v>
      </c>
    </row>
    <row r="89" spans="1:16" x14ac:dyDescent="0.3">
      <c r="A89" s="6">
        <v>82</v>
      </c>
      <c r="B89" t="s">
        <v>136</v>
      </c>
      <c r="C89" s="2" t="s">
        <v>137</v>
      </c>
      <c r="D89" t="s">
        <v>15</v>
      </c>
      <c r="F89" t="s">
        <v>1599</v>
      </c>
      <c r="G89" t="s">
        <v>1606</v>
      </c>
      <c r="H89" s="5">
        <v>12</v>
      </c>
      <c r="J89">
        <v>55</v>
      </c>
      <c r="P89" s="6">
        <v>40</v>
      </c>
    </row>
    <row r="90" spans="1:16" x14ac:dyDescent="0.3">
      <c r="A90" s="6">
        <v>83</v>
      </c>
      <c r="B90" t="s">
        <v>138</v>
      </c>
      <c r="C90" s="2" t="s">
        <v>139</v>
      </c>
      <c r="D90" t="s">
        <v>15</v>
      </c>
      <c r="F90" t="s">
        <v>1599</v>
      </c>
      <c r="G90" t="s">
        <v>1606</v>
      </c>
      <c r="H90" s="5">
        <v>3</v>
      </c>
      <c r="J90">
        <v>45</v>
      </c>
      <c r="P90" s="6">
        <v>34</v>
      </c>
    </row>
    <row r="91" spans="1:16" x14ac:dyDescent="0.3">
      <c r="A91" s="6">
        <v>84</v>
      </c>
      <c r="B91" t="s">
        <v>140</v>
      </c>
      <c r="C91" s="2" t="s">
        <v>141</v>
      </c>
      <c r="D91" t="s">
        <v>15</v>
      </c>
      <c r="F91" t="s">
        <v>1599</v>
      </c>
      <c r="G91" t="s">
        <v>1606</v>
      </c>
      <c r="H91" s="5">
        <v>26</v>
      </c>
      <c r="J91">
        <v>70</v>
      </c>
      <c r="P91" s="6">
        <v>55</v>
      </c>
    </row>
    <row r="92" spans="1:16" x14ac:dyDescent="0.3">
      <c r="A92" s="6">
        <v>85</v>
      </c>
      <c r="B92" t="s">
        <v>142</v>
      </c>
      <c r="D92" t="s">
        <v>15</v>
      </c>
      <c r="F92" t="s">
        <v>1599</v>
      </c>
      <c r="G92" t="s">
        <v>1606</v>
      </c>
      <c r="H92" s="5">
        <v>157</v>
      </c>
      <c r="J92">
        <v>30</v>
      </c>
      <c r="P92" s="6">
        <v>22</v>
      </c>
    </row>
    <row r="93" spans="1:16" x14ac:dyDescent="0.3">
      <c r="A93" s="6">
        <v>86</v>
      </c>
      <c r="B93" t="s">
        <v>143</v>
      </c>
      <c r="C93" s="2" t="s">
        <v>144</v>
      </c>
      <c r="D93" t="s">
        <v>15</v>
      </c>
      <c r="F93" t="s">
        <v>1599</v>
      </c>
      <c r="G93" t="s">
        <v>1606</v>
      </c>
      <c r="H93" s="5">
        <v>198</v>
      </c>
      <c r="J93">
        <v>70</v>
      </c>
      <c r="P93" s="6">
        <v>50</v>
      </c>
    </row>
    <row r="94" spans="1:16" x14ac:dyDescent="0.3">
      <c r="A94" s="6">
        <v>87</v>
      </c>
      <c r="B94" t="s">
        <v>145</v>
      </c>
      <c r="C94" s="2" t="s">
        <v>146</v>
      </c>
      <c r="D94" t="s">
        <v>15</v>
      </c>
      <c r="F94" t="s">
        <v>1599</v>
      </c>
      <c r="G94" t="s">
        <v>1606</v>
      </c>
      <c r="H94" s="5">
        <v>69</v>
      </c>
      <c r="J94">
        <v>65</v>
      </c>
      <c r="P94" s="6">
        <v>38</v>
      </c>
    </row>
    <row r="95" spans="1:16" x14ac:dyDescent="0.3">
      <c r="A95" s="6">
        <v>88</v>
      </c>
      <c r="B95" t="s">
        <v>140</v>
      </c>
      <c r="C95" s="2">
        <v>6001</v>
      </c>
      <c r="D95" t="s">
        <v>15</v>
      </c>
      <c r="F95" t="s">
        <v>1599</v>
      </c>
      <c r="G95" t="s">
        <v>1606</v>
      </c>
      <c r="H95" s="5">
        <v>22</v>
      </c>
      <c r="J95">
        <v>70</v>
      </c>
      <c r="P95" s="6">
        <v>55</v>
      </c>
    </row>
    <row r="96" spans="1:16" x14ac:dyDescent="0.3">
      <c r="A96" s="6">
        <v>89</v>
      </c>
      <c r="B96" t="s">
        <v>147</v>
      </c>
      <c r="C96" s="2">
        <v>6601</v>
      </c>
      <c r="D96" t="s">
        <v>15</v>
      </c>
      <c r="F96" t="s">
        <v>1599</v>
      </c>
      <c r="G96" t="s">
        <v>1606</v>
      </c>
      <c r="H96" s="5">
        <v>91</v>
      </c>
      <c r="J96">
        <v>100</v>
      </c>
      <c r="P96" s="6">
        <v>70</v>
      </c>
    </row>
    <row r="97" spans="1:16" x14ac:dyDescent="0.3">
      <c r="A97" s="6">
        <v>90</v>
      </c>
      <c r="B97" t="s">
        <v>148</v>
      </c>
      <c r="C97" s="2">
        <v>6002</v>
      </c>
      <c r="D97" t="s">
        <v>15</v>
      </c>
      <c r="F97" t="s">
        <v>1599</v>
      </c>
      <c r="G97" t="s">
        <v>1606</v>
      </c>
      <c r="H97" s="5">
        <f>10+8</f>
        <v>18</v>
      </c>
      <c r="J97">
        <v>70</v>
      </c>
      <c r="P97" s="6">
        <v>55</v>
      </c>
    </row>
    <row r="98" spans="1:16" x14ac:dyDescent="0.3">
      <c r="A98" s="6">
        <v>91</v>
      </c>
      <c r="B98" t="s">
        <v>149</v>
      </c>
      <c r="C98" s="2" t="s">
        <v>150</v>
      </c>
      <c r="D98" t="s">
        <v>15</v>
      </c>
      <c r="F98" t="s">
        <v>1599</v>
      </c>
      <c r="G98" t="s">
        <v>1606</v>
      </c>
      <c r="H98" s="5">
        <f>288+144</f>
        <v>432</v>
      </c>
      <c r="J98">
        <v>45</v>
      </c>
      <c r="P98" s="6">
        <v>39</v>
      </c>
    </row>
    <row r="99" spans="1:16" x14ac:dyDescent="0.3">
      <c r="A99" s="6">
        <v>92</v>
      </c>
      <c r="B99" t="s">
        <v>151</v>
      </c>
      <c r="C99" s="2" t="s">
        <v>152</v>
      </c>
      <c r="D99" t="s">
        <v>15</v>
      </c>
      <c r="F99" t="s">
        <v>1599</v>
      </c>
      <c r="G99" t="s">
        <v>1606</v>
      </c>
      <c r="H99" s="5">
        <v>138</v>
      </c>
      <c r="J99">
        <v>70</v>
      </c>
      <c r="P99" s="6">
        <v>55</v>
      </c>
    </row>
    <row r="100" spans="1:16" x14ac:dyDescent="0.3">
      <c r="A100" s="6">
        <v>93</v>
      </c>
      <c r="B100" t="s">
        <v>153</v>
      </c>
      <c r="C100" s="2" t="s">
        <v>154</v>
      </c>
      <c r="D100" t="s">
        <v>15</v>
      </c>
      <c r="F100" t="s">
        <v>1599</v>
      </c>
      <c r="G100" t="s">
        <v>1606</v>
      </c>
      <c r="H100" s="5">
        <v>138</v>
      </c>
      <c r="J100">
        <v>40</v>
      </c>
      <c r="P100" s="6">
        <v>28</v>
      </c>
    </row>
    <row r="101" spans="1:16" x14ac:dyDescent="0.3">
      <c r="A101" s="6">
        <v>94</v>
      </c>
      <c r="B101" t="s">
        <v>155</v>
      </c>
      <c r="C101" s="2" t="s">
        <v>156</v>
      </c>
      <c r="D101" t="s">
        <v>15</v>
      </c>
      <c r="F101" t="s">
        <v>1599</v>
      </c>
      <c r="G101" t="s">
        <v>1606</v>
      </c>
      <c r="H101" s="5">
        <v>66</v>
      </c>
      <c r="J101">
        <v>70</v>
      </c>
      <c r="P101" s="6">
        <v>44</v>
      </c>
    </row>
    <row r="102" spans="1:16" x14ac:dyDescent="0.3">
      <c r="A102" s="6">
        <v>95</v>
      </c>
      <c r="B102" t="s">
        <v>30</v>
      </c>
      <c r="C102" s="2" t="s">
        <v>157</v>
      </c>
      <c r="D102" t="s">
        <v>15</v>
      </c>
      <c r="F102" t="s">
        <v>1599</v>
      </c>
      <c r="G102" t="s">
        <v>1606</v>
      </c>
      <c r="H102" s="5">
        <v>52</v>
      </c>
      <c r="J102">
        <v>60</v>
      </c>
      <c r="P102" s="6">
        <v>45</v>
      </c>
    </row>
    <row r="103" spans="1:16" x14ac:dyDescent="0.3">
      <c r="A103" s="6">
        <v>96</v>
      </c>
      <c r="B103" t="s">
        <v>138</v>
      </c>
      <c r="C103" s="2" t="s">
        <v>158</v>
      </c>
      <c r="D103" t="s">
        <v>15</v>
      </c>
      <c r="F103" t="s">
        <v>1599</v>
      </c>
      <c r="G103" t="s">
        <v>1606</v>
      </c>
      <c r="H103" s="5">
        <v>38</v>
      </c>
      <c r="J103">
        <v>45</v>
      </c>
      <c r="P103" s="6">
        <v>34</v>
      </c>
    </row>
    <row r="104" spans="1:16" x14ac:dyDescent="0.3">
      <c r="A104" s="6">
        <v>97</v>
      </c>
      <c r="B104" t="s">
        <v>159</v>
      </c>
      <c r="C104" s="2" t="s">
        <v>160</v>
      </c>
      <c r="D104" t="s">
        <v>15</v>
      </c>
      <c r="F104" t="s">
        <v>1599</v>
      </c>
      <c r="G104" t="s">
        <v>1606</v>
      </c>
      <c r="H104" s="5">
        <v>55</v>
      </c>
      <c r="J104">
        <v>70</v>
      </c>
      <c r="P104" s="6">
        <v>55</v>
      </c>
    </row>
    <row r="105" spans="1:16" x14ac:dyDescent="0.3">
      <c r="A105" s="6">
        <v>98</v>
      </c>
      <c r="B105" t="s">
        <v>161</v>
      </c>
      <c r="C105" s="2" t="s">
        <v>162</v>
      </c>
      <c r="D105" t="s">
        <v>15</v>
      </c>
      <c r="F105" t="s">
        <v>1599</v>
      </c>
      <c r="G105" t="s">
        <v>1606</v>
      </c>
      <c r="H105" s="5">
        <v>210</v>
      </c>
      <c r="J105">
        <v>130</v>
      </c>
      <c r="P105" s="6">
        <v>105</v>
      </c>
    </row>
    <row r="106" spans="1:16" x14ac:dyDescent="0.3">
      <c r="A106" s="6">
        <v>99</v>
      </c>
      <c r="B106" t="s">
        <v>163</v>
      </c>
      <c r="D106" t="s">
        <v>15</v>
      </c>
      <c r="F106" t="s">
        <v>1599</v>
      </c>
      <c r="G106" t="s">
        <v>1606</v>
      </c>
      <c r="H106" s="5">
        <v>68</v>
      </c>
      <c r="J106">
        <v>50</v>
      </c>
      <c r="P106" s="6">
        <v>42</v>
      </c>
    </row>
    <row r="107" spans="1:16" x14ac:dyDescent="0.3">
      <c r="A107" s="6">
        <v>100</v>
      </c>
      <c r="B107" t="s">
        <v>164</v>
      </c>
      <c r="C107" s="2" t="s">
        <v>165</v>
      </c>
      <c r="D107" t="s">
        <v>15</v>
      </c>
      <c r="F107" t="s">
        <v>1599</v>
      </c>
      <c r="G107" t="s">
        <v>1606</v>
      </c>
      <c r="H107" s="5">
        <f>150+5</f>
        <v>155</v>
      </c>
      <c r="J107">
        <v>60</v>
      </c>
      <c r="P107" s="6">
        <v>42</v>
      </c>
    </row>
    <row r="108" spans="1:16" x14ac:dyDescent="0.3">
      <c r="A108" s="6">
        <v>101</v>
      </c>
      <c r="B108" t="s">
        <v>166</v>
      </c>
      <c r="C108" s="2" t="s">
        <v>167</v>
      </c>
      <c r="D108" t="s">
        <v>15</v>
      </c>
      <c r="F108" t="s">
        <v>1599</v>
      </c>
      <c r="G108" t="s">
        <v>1606</v>
      </c>
      <c r="H108" s="5">
        <v>197</v>
      </c>
      <c r="J108">
        <v>40</v>
      </c>
      <c r="P108" s="6">
        <v>26</v>
      </c>
    </row>
    <row r="109" spans="1:16" x14ac:dyDescent="0.3">
      <c r="A109" s="6">
        <v>102</v>
      </c>
      <c r="B109" t="s">
        <v>168</v>
      </c>
      <c r="C109" s="2" t="s">
        <v>169</v>
      </c>
      <c r="D109" t="s">
        <v>15</v>
      </c>
      <c r="F109" t="s">
        <v>1599</v>
      </c>
      <c r="G109" t="s">
        <v>1606</v>
      </c>
      <c r="H109" s="5">
        <v>35</v>
      </c>
      <c r="J109">
        <v>110</v>
      </c>
      <c r="P109" s="6">
        <v>85</v>
      </c>
    </row>
    <row r="110" spans="1:16" x14ac:dyDescent="0.3">
      <c r="A110" s="6">
        <v>103</v>
      </c>
      <c r="B110" t="s">
        <v>30</v>
      </c>
      <c r="C110" s="2" t="s">
        <v>170</v>
      </c>
      <c r="D110" t="s">
        <v>15</v>
      </c>
      <c r="F110" t="s">
        <v>1599</v>
      </c>
      <c r="G110" t="s">
        <v>1606</v>
      </c>
      <c r="H110" s="5">
        <v>63</v>
      </c>
      <c r="J110">
        <v>80</v>
      </c>
      <c r="P110" s="6">
        <v>58</v>
      </c>
    </row>
    <row r="111" spans="1:16" x14ac:dyDescent="0.3">
      <c r="A111" s="6">
        <v>104</v>
      </c>
      <c r="B111" t="s">
        <v>171</v>
      </c>
      <c r="C111" s="2" t="s">
        <v>172</v>
      </c>
      <c r="D111" t="s">
        <v>15</v>
      </c>
      <c r="F111" t="s">
        <v>1599</v>
      </c>
      <c r="G111" t="s">
        <v>1606</v>
      </c>
      <c r="H111" s="5">
        <v>46</v>
      </c>
      <c r="J111">
        <v>90</v>
      </c>
      <c r="P111" s="6">
        <v>70</v>
      </c>
    </row>
    <row r="112" spans="1:16" x14ac:dyDescent="0.3">
      <c r="A112" s="6">
        <v>105</v>
      </c>
      <c r="B112" t="s">
        <v>173</v>
      </c>
      <c r="C112" s="2" t="s">
        <v>174</v>
      </c>
      <c r="D112" t="s">
        <v>15</v>
      </c>
      <c r="F112" t="s">
        <v>1599</v>
      </c>
      <c r="G112" t="s">
        <v>1606</v>
      </c>
      <c r="H112" s="5">
        <v>53</v>
      </c>
      <c r="J112">
        <v>60</v>
      </c>
      <c r="P112" s="6">
        <v>46</v>
      </c>
    </row>
    <row r="113" spans="1:16" x14ac:dyDescent="0.3">
      <c r="A113" s="6">
        <v>106</v>
      </c>
      <c r="B113" t="s">
        <v>175</v>
      </c>
      <c r="C113" s="2" t="s">
        <v>176</v>
      </c>
      <c r="D113" t="s">
        <v>15</v>
      </c>
      <c r="F113" t="s">
        <v>1599</v>
      </c>
      <c r="G113" t="s">
        <v>1606</v>
      </c>
      <c r="H113" s="5">
        <v>357</v>
      </c>
      <c r="J113">
        <v>30</v>
      </c>
      <c r="P113" s="6">
        <v>17.5</v>
      </c>
    </row>
    <row r="114" spans="1:16" x14ac:dyDescent="0.3">
      <c r="A114" s="6">
        <v>107</v>
      </c>
      <c r="B114" t="s">
        <v>177</v>
      </c>
      <c r="D114" t="s">
        <v>15</v>
      </c>
      <c r="F114" t="s">
        <v>1599</v>
      </c>
      <c r="G114" t="s">
        <v>1606</v>
      </c>
      <c r="H114" s="5">
        <v>56</v>
      </c>
      <c r="J114">
        <v>75</v>
      </c>
      <c r="P114" s="6">
        <v>58</v>
      </c>
    </row>
    <row r="115" spans="1:16" x14ac:dyDescent="0.3">
      <c r="A115" s="6">
        <v>108</v>
      </c>
      <c r="B115" t="s">
        <v>57</v>
      </c>
      <c r="C115" s="2" t="s">
        <v>178</v>
      </c>
      <c r="D115" t="s">
        <v>15</v>
      </c>
      <c r="F115" t="s">
        <v>1599</v>
      </c>
      <c r="G115" t="s">
        <v>1606</v>
      </c>
      <c r="H115" s="5">
        <f>48+8</f>
        <v>56</v>
      </c>
      <c r="J115">
        <v>95</v>
      </c>
      <c r="P115" s="6">
        <v>78</v>
      </c>
    </row>
    <row r="116" spans="1:16" x14ac:dyDescent="0.3">
      <c r="A116" s="6">
        <v>109</v>
      </c>
      <c r="B116" t="s">
        <v>179</v>
      </c>
      <c r="C116" s="2" t="s">
        <v>180</v>
      </c>
      <c r="D116" t="s">
        <v>15</v>
      </c>
      <c r="F116" t="s">
        <v>1599</v>
      </c>
      <c r="G116" t="s">
        <v>1606</v>
      </c>
      <c r="H116" s="5">
        <v>40</v>
      </c>
      <c r="J116">
        <v>55</v>
      </c>
      <c r="P116" s="6">
        <v>40</v>
      </c>
    </row>
    <row r="117" spans="1:16" x14ac:dyDescent="0.3">
      <c r="A117" s="6">
        <v>110</v>
      </c>
      <c r="B117" t="s">
        <v>64</v>
      </c>
      <c r="C117" s="2" t="s">
        <v>181</v>
      </c>
      <c r="D117" t="s">
        <v>15</v>
      </c>
      <c r="F117" t="s">
        <v>1599</v>
      </c>
      <c r="G117" t="s">
        <v>1606</v>
      </c>
      <c r="H117" s="5">
        <f>48+13</f>
        <v>61</v>
      </c>
      <c r="J117">
        <v>95</v>
      </c>
      <c r="P117" s="6">
        <v>78</v>
      </c>
    </row>
    <row r="118" spans="1:16" x14ac:dyDescent="0.3">
      <c r="A118" s="6">
        <v>111</v>
      </c>
      <c r="B118" t="s">
        <v>168</v>
      </c>
      <c r="C118" s="2" t="s">
        <v>182</v>
      </c>
      <c r="D118" t="s">
        <v>15</v>
      </c>
      <c r="F118" t="s">
        <v>1599</v>
      </c>
      <c r="G118" t="s">
        <v>1606</v>
      </c>
      <c r="H118" s="5">
        <v>25</v>
      </c>
      <c r="J118">
        <v>95</v>
      </c>
      <c r="P118" s="6">
        <v>78</v>
      </c>
    </row>
    <row r="119" spans="1:16" x14ac:dyDescent="0.3">
      <c r="A119" s="6">
        <v>112</v>
      </c>
      <c r="B119" t="s">
        <v>183</v>
      </c>
      <c r="C119" s="2" t="s">
        <v>184</v>
      </c>
      <c r="D119" t="s">
        <v>15</v>
      </c>
      <c r="F119" t="s">
        <v>1599</v>
      </c>
      <c r="G119" t="s">
        <v>1606</v>
      </c>
      <c r="H119" s="5">
        <v>40</v>
      </c>
      <c r="J119">
        <v>95</v>
      </c>
      <c r="P119" s="6">
        <v>78</v>
      </c>
    </row>
    <row r="120" spans="1:16" x14ac:dyDescent="0.3">
      <c r="A120" s="6">
        <v>113</v>
      </c>
      <c r="B120" t="s">
        <v>185</v>
      </c>
      <c r="C120" s="2" t="s">
        <v>186</v>
      </c>
      <c r="D120" t="s">
        <v>15</v>
      </c>
      <c r="F120" t="s">
        <v>1599</v>
      </c>
      <c r="G120" t="s">
        <v>1606</v>
      </c>
      <c r="H120" s="5">
        <v>65</v>
      </c>
      <c r="J120">
        <v>50</v>
      </c>
      <c r="P120" s="6">
        <v>38</v>
      </c>
    </row>
    <row r="121" spans="1:16" x14ac:dyDescent="0.3">
      <c r="A121" s="6">
        <v>114</v>
      </c>
      <c r="B121" t="s">
        <v>122</v>
      </c>
      <c r="C121" s="2" t="s">
        <v>187</v>
      </c>
      <c r="D121" t="s">
        <v>15</v>
      </c>
      <c r="F121" t="s">
        <v>1599</v>
      </c>
      <c r="G121" t="s">
        <v>1606</v>
      </c>
      <c r="H121" s="5">
        <v>25</v>
      </c>
      <c r="J121">
        <v>100</v>
      </c>
      <c r="P121" s="6">
        <v>80</v>
      </c>
    </row>
    <row r="122" spans="1:16" x14ac:dyDescent="0.3">
      <c r="A122" s="6">
        <v>115</v>
      </c>
      <c r="B122" t="s">
        <v>188</v>
      </c>
      <c r="C122" s="2" t="s">
        <v>189</v>
      </c>
      <c r="D122" t="s">
        <v>15</v>
      </c>
      <c r="F122" t="s">
        <v>1599</v>
      </c>
      <c r="G122" t="s">
        <v>1606</v>
      </c>
      <c r="H122" s="5">
        <v>22</v>
      </c>
      <c r="J122">
        <v>120</v>
      </c>
      <c r="P122" s="6">
        <v>95</v>
      </c>
    </row>
    <row r="123" spans="1:16" x14ac:dyDescent="0.3">
      <c r="A123" s="6">
        <v>116</v>
      </c>
      <c r="B123" t="s">
        <v>190</v>
      </c>
      <c r="C123" s="2" t="s">
        <v>191</v>
      </c>
      <c r="D123" t="s">
        <v>15</v>
      </c>
      <c r="F123" t="s">
        <v>1599</v>
      </c>
      <c r="G123" t="s">
        <v>1606</v>
      </c>
      <c r="H123" s="5">
        <v>165</v>
      </c>
      <c r="J123">
        <v>65</v>
      </c>
      <c r="P123" s="6">
        <v>37</v>
      </c>
    </row>
    <row r="124" spans="1:16" x14ac:dyDescent="0.3">
      <c r="A124" s="6">
        <v>117</v>
      </c>
      <c r="B124" t="s">
        <v>192</v>
      </c>
      <c r="D124" t="s">
        <v>15</v>
      </c>
      <c r="F124" t="s">
        <v>1599</v>
      </c>
      <c r="G124" t="s">
        <v>1606</v>
      </c>
      <c r="H124" s="5">
        <v>141</v>
      </c>
      <c r="J124">
        <v>25</v>
      </c>
      <c r="P124" s="6">
        <v>19</v>
      </c>
    </row>
    <row r="125" spans="1:16" x14ac:dyDescent="0.3">
      <c r="A125" s="6">
        <v>118</v>
      </c>
      <c r="B125" t="s">
        <v>193</v>
      </c>
      <c r="C125" s="2" t="s">
        <v>194</v>
      </c>
      <c r="D125" t="s">
        <v>15</v>
      </c>
      <c r="F125" t="s">
        <v>1599</v>
      </c>
      <c r="G125" t="s">
        <v>1606</v>
      </c>
      <c r="H125" s="5">
        <v>127</v>
      </c>
      <c r="J125">
        <v>60</v>
      </c>
      <c r="P125" s="6">
        <v>45</v>
      </c>
    </row>
    <row r="126" spans="1:16" x14ac:dyDescent="0.3">
      <c r="A126" s="6">
        <v>119</v>
      </c>
      <c r="B126" t="s">
        <v>30</v>
      </c>
      <c r="C126" s="2" t="s">
        <v>195</v>
      </c>
      <c r="D126" t="s">
        <v>15</v>
      </c>
      <c r="F126" t="s">
        <v>1599</v>
      </c>
      <c r="G126" t="s">
        <v>1606</v>
      </c>
      <c r="H126" s="5">
        <v>114</v>
      </c>
      <c r="J126">
        <v>60</v>
      </c>
      <c r="P126" s="6">
        <v>48</v>
      </c>
    </row>
    <row r="127" spans="1:16" x14ac:dyDescent="0.3">
      <c r="A127" s="6">
        <v>120</v>
      </c>
      <c r="B127" t="s">
        <v>196</v>
      </c>
      <c r="C127" s="2">
        <v>1201</v>
      </c>
      <c r="D127" t="s">
        <v>15</v>
      </c>
      <c r="F127" t="s">
        <v>1599</v>
      </c>
      <c r="G127" t="s">
        <v>1606</v>
      </c>
      <c r="H127" s="5">
        <v>82</v>
      </c>
      <c r="J127">
        <v>60</v>
      </c>
      <c r="P127" s="6">
        <v>45</v>
      </c>
    </row>
    <row r="128" spans="1:16" x14ac:dyDescent="0.3">
      <c r="A128" s="6">
        <v>121</v>
      </c>
      <c r="B128" t="s">
        <v>30</v>
      </c>
      <c r="C128" s="2" t="s">
        <v>197</v>
      </c>
      <c r="D128" t="s">
        <v>15</v>
      </c>
      <c r="F128" t="s">
        <v>1599</v>
      </c>
      <c r="G128" t="s">
        <v>1606</v>
      </c>
      <c r="H128" s="5">
        <f>96+55</f>
        <v>151</v>
      </c>
      <c r="J128">
        <v>60</v>
      </c>
      <c r="P128" s="6">
        <v>45</v>
      </c>
    </row>
    <row r="129" spans="1:16" x14ac:dyDescent="0.3">
      <c r="A129" s="6">
        <v>122</v>
      </c>
      <c r="B129" t="s">
        <v>198</v>
      </c>
      <c r="C129" s="2" t="s">
        <v>199</v>
      </c>
      <c r="D129" t="s">
        <v>15</v>
      </c>
      <c r="F129" t="s">
        <v>1599</v>
      </c>
      <c r="G129" t="s">
        <v>1606</v>
      </c>
      <c r="H129" s="5">
        <v>228</v>
      </c>
      <c r="J129">
        <v>55</v>
      </c>
      <c r="P129" s="6">
        <v>40</v>
      </c>
    </row>
    <row r="130" spans="1:16" x14ac:dyDescent="0.3">
      <c r="A130" s="6">
        <v>123</v>
      </c>
      <c r="B130" t="s">
        <v>200</v>
      </c>
      <c r="C130" s="2" t="s">
        <v>201</v>
      </c>
      <c r="D130" t="s">
        <v>15</v>
      </c>
      <c r="F130" t="s">
        <v>1599</v>
      </c>
      <c r="G130" t="s">
        <v>1606</v>
      </c>
      <c r="H130" s="5">
        <v>148</v>
      </c>
      <c r="J130">
        <v>80</v>
      </c>
      <c r="P130" s="6">
        <v>62</v>
      </c>
    </row>
    <row r="131" spans="1:16" x14ac:dyDescent="0.3">
      <c r="A131" s="6">
        <v>124</v>
      </c>
      <c r="B131" t="s">
        <v>202</v>
      </c>
      <c r="C131" s="2" t="s">
        <v>203</v>
      </c>
      <c r="D131" t="s">
        <v>15</v>
      </c>
      <c r="F131" t="s">
        <v>1599</v>
      </c>
      <c r="G131" t="s">
        <v>1606</v>
      </c>
      <c r="H131" s="5">
        <v>30</v>
      </c>
      <c r="J131">
        <v>70</v>
      </c>
      <c r="P131" s="6">
        <v>68</v>
      </c>
    </row>
    <row r="132" spans="1:16" x14ac:dyDescent="0.3">
      <c r="A132" s="6">
        <v>125</v>
      </c>
      <c r="B132" t="s">
        <v>30</v>
      </c>
      <c r="C132" s="2" t="s">
        <v>204</v>
      </c>
      <c r="D132" t="s">
        <v>15</v>
      </c>
      <c r="F132" t="s">
        <v>1599</v>
      </c>
      <c r="G132" t="s">
        <v>1606</v>
      </c>
      <c r="H132" s="5">
        <v>21</v>
      </c>
      <c r="J132">
        <v>55</v>
      </c>
      <c r="P132" s="6">
        <v>42</v>
      </c>
    </row>
    <row r="133" spans="1:16" x14ac:dyDescent="0.3">
      <c r="A133" s="6">
        <v>126</v>
      </c>
      <c r="B133" t="s">
        <v>205</v>
      </c>
      <c r="C133" s="2">
        <v>9107</v>
      </c>
      <c r="D133" t="s">
        <v>15</v>
      </c>
      <c r="F133" t="s">
        <v>1599</v>
      </c>
      <c r="G133" t="s">
        <v>1606</v>
      </c>
      <c r="H133" s="5">
        <v>88</v>
      </c>
      <c r="J133">
        <v>70</v>
      </c>
      <c r="P133" s="6">
        <v>60</v>
      </c>
    </row>
    <row r="134" spans="1:16" x14ac:dyDescent="0.3">
      <c r="A134" s="6">
        <v>127</v>
      </c>
      <c r="B134" t="s">
        <v>122</v>
      </c>
      <c r="C134" s="2" t="s">
        <v>206</v>
      </c>
      <c r="D134" t="s">
        <v>15</v>
      </c>
      <c r="F134" t="s">
        <v>1599</v>
      </c>
      <c r="G134" t="s">
        <v>1606</v>
      </c>
      <c r="H134" s="5">
        <v>41</v>
      </c>
      <c r="J134">
        <v>55</v>
      </c>
      <c r="P134" s="6">
        <v>45</v>
      </c>
    </row>
    <row r="135" spans="1:16" x14ac:dyDescent="0.3">
      <c r="A135" s="6">
        <v>128</v>
      </c>
      <c r="B135" t="s">
        <v>207</v>
      </c>
      <c r="C135" s="2" t="s">
        <v>218</v>
      </c>
      <c r="D135" t="s">
        <v>208</v>
      </c>
      <c r="F135" t="s">
        <v>1599</v>
      </c>
      <c r="G135" t="s">
        <v>1606</v>
      </c>
      <c r="H135" s="5">
        <v>14</v>
      </c>
      <c r="J135">
        <v>650</v>
      </c>
      <c r="P135" s="6">
        <v>480</v>
      </c>
    </row>
    <row r="136" spans="1:16" x14ac:dyDescent="0.3">
      <c r="A136" s="6">
        <v>129</v>
      </c>
      <c r="B136" t="s">
        <v>209</v>
      </c>
      <c r="C136" s="2" t="s">
        <v>210</v>
      </c>
      <c r="D136" t="s">
        <v>15</v>
      </c>
      <c r="F136" t="s">
        <v>1599</v>
      </c>
      <c r="G136" t="s">
        <v>1606</v>
      </c>
      <c r="H136" s="5">
        <v>52</v>
      </c>
      <c r="J136">
        <v>75</v>
      </c>
      <c r="P136" s="6">
        <v>59</v>
      </c>
    </row>
    <row r="137" spans="1:16" x14ac:dyDescent="0.3">
      <c r="A137" s="6">
        <v>130</v>
      </c>
      <c r="B137" t="s">
        <v>212</v>
      </c>
      <c r="C137" s="2" t="s">
        <v>211</v>
      </c>
      <c r="D137" t="s">
        <v>15</v>
      </c>
      <c r="F137" t="s">
        <v>1599</v>
      </c>
      <c r="G137" t="s">
        <v>1606</v>
      </c>
      <c r="H137" s="5">
        <v>34</v>
      </c>
      <c r="J137">
        <v>85</v>
      </c>
      <c r="P137" s="6">
        <v>65</v>
      </c>
    </row>
    <row r="138" spans="1:16" x14ac:dyDescent="0.3">
      <c r="A138" s="6">
        <v>131</v>
      </c>
      <c r="B138" t="s">
        <v>213</v>
      </c>
      <c r="C138" s="2" t="s">
        <v>214</v>
      </c>
      <c r="D138" t="s">
        <v>15</v>
      </c>
      <c r="F138" t="s">
        <v>1599</v>
      </c>
      <c r="G138" t="s">
        <v>1606</v>
      </c>
      <c r="H138" s="5">
        <v>42</v>
      </c>
      <c r="J138">
        <v>65</v>
      </c>
      <c r="P138" s="6">
        <v>50</v>
      </c>
    </row>
    <row r="139" spans="1:16" x14ac:dyDescent="0.3">
      <c r="A139" s="6">
        <v>132</v>
      </c>
      <c r="B139" t="s">
        <v>212</v>
      </c>
      <c r="C139" s="2" t="s">
        <v>215</v>
      </c>
      <c r="D139" t="s">
        <v>15</v>
      </c>
      <c r="F139" t="s">
        <v>1599</v>
      </c>
      <c r="G139" t="s">
        <v>1606</v>
      </c>
      <c r="H139" s="5">
        <v>55</v>
      </c>
      <c r="J139">
        <v>140</v>
      </c>
      <c r="P139" s="6">
        <v>105</v>
      </c>
    </row>
    <row r="140" spans="1:16" x14ac:dyDescent="0.3">
      <c r="A140" s="6">
        <v>133</v>
      </c>
      <c r="B140" t="s">
        <v>216</v>
      </c>
      <c r="C140" s="2" t="s">
        <v>217</v>
      </c>
      <c r="D140" t="s">
        <v>15</v>
      </c>
      <c r="F140" t="s">
        <v>1599</v>
      </c>
      <c r="G140" t="s">
        <v>1606</v>
      </c>
      <c r="H140" s="5">
        <v>72</v>
      </c>
      <c r="J140">
        <v>90</v>
      </c>
      <c r="P140" s="6">
        <v>70</v>
      </c>
    </row>
    <row r="141" spans="1:16" x14ac:dyDescent="0.3">
      <c r="A141" s="6">
        <v>134</v>
      </c>
      <c r="B141" t="s">
        <v>219</v>
      </c>
      <c r="C141" s="2" t="s">
        <v>220</v>
      </c>
      <c r="D141" t="s">
        <v>15</v>
      </c>
      <c r="F141" t="s">
        <v>1599</v>
      </c>
      <c r="G141" t="s">
        <v>1606</v>
      </c>
      <c r="H141" s="5">
        <v>38</v>
      </c>
      <c r="J141">
        <v>120</v>
      </c>
      <c r="P141" s="6">
        <v>95</v>
      </c>
    </row>
    <row r="142" spans="1:16" x14ac:dyDescent="0.3">
      <c r="A142" s="6">
        <v>135</v>
      </c>
      <c r="B142" t="s">
        <v>221</v>
      </c>
      <c r="C142" s="2" t="s">
        <v>222</v>
      </c>
      <c r="D142" t="s">
        <v>15</v>
      </c>
      <c r="F142" t="s">
        <v>1599</v>
      </c>
      <c r="G142" t="s">
        <v>1606</v>
      </c>
      <c r="H142" s="5">
        <v>38</v>
      </c>
      <c r="J142">
        <v>90</v>
      </c>
      <c r="P142" s="6">
        <v>70</v>
      </c>
    </row>
    <row r="143" spans="1:16" x14ac:dyDescent="0.3">
      <c r="A143" s="6">
        <v>136</v>
      </c>
      <c r="B143" t="s">
        <v>223</v>
      </c>
      <c r="C143" s="2" t="s">
        <v>224</v>
      </c>
      <c r="D143" t="s">
        <v>15</v>
      </c>
      <c r="F143" t="s">
        <v>1599</v>
      </c>
      <c r="G143" t="s">
        <v>1606</v>
      </c>
      <c r="H143" s="5">
        <v>44</v>
      </c>
      <c r="J143">
        <v>80</v>
      </c>
      <c r="P143" s="6">
        <v>60</v>
      </c>
    </row>
    <row r="144" spans="1:16" x14ac:dyDescent="0.3">
      <c r="A144" s="6">
        <v>137</v>
      </c>
      <c r="B144" t="s">
        <v>226</v>
      </c>
      <c r="C144" s="2" t="s">
        <v>227</v>
      </c>
      <c r="D144" t="s">
        <v>15</v>
      </c>
      <c r="F144" t="s">
        <v>1599</v>
      </c>
      <c r="G144" t="s">
        <v>1606</v>
      </c>
      <c r="H144" s="5">
        <v>212</v>
      </c>
      <c r="J144">
        <v>30</v>
      </c>
      <c r="P144" s="6">
        <v>20</v>
      </c>
    </row>
    <row r="145" spans="1:16" x14ac:dyDescent="0.3">
      <c r="A145" s="6">
        <v>138</v>
      </c>
      <c r="B145" t="s">
        <v>228</v>
      </c>
      <c r="C145" s="2" t="s">
        <v>229</v>
      </c>
      <c r="D145" t="s">
        <v>15</v>
      </c>
      <c r="F145" t="s">
        <v>1599</v>
      </c>
      <c r="G145" t="s">
        <v>1606</v>
      </c>
      <c r="H145" s="5">
        <v>90</v>
      </c>
      <c r="J145">
        <v>90</v>
      </c>
      <c r="P145" s="6">
        <v>71</v>
      </c>
    </row>
    <row r="146" spans="1:16" x14ac:dyDescent="0.3">
      <c r="A146" s="6">
        <v>139</v>
      </c>
      <c r="B146" t="s">
        <v>230</v>
      </c>
      <c r="C146" s="2" t="s">
        <v>231</v>
      </c>
      <c r="D146" t="s">
        <v>15</v>
      </c>
      <c r="F146" t="s">
        <v>1599</v>
      </c>
      <c r="G146" t="s">
        <v>1606</v>
      </c>
      <c r="H146" s="5">
        <v>48</v>
      </c>
      <c r="J146">
        <v>50</v>
      </c>
      <c r="P146" s="6">
        <v>36</v>
      </c>
    </row>
    <row r="147" spans="1:16" x14ac:dyDescent="0.3">
      <c r="A147" s="6">
        <v>140</v>
      </c>
      <c r="B147" t="s">
        <v>232</v>
      </c>
      <c r="C147" s="2">
        <v>4093</v>
      </c>
      <c r="D147" t="s">
        <v>15</v>
      </c>
      <c r="F147" t="s">
        <v>1599</v>
      </c>
      <c r="G147" t="s">
        <v>1606</v>
      </c>
      <c r="H147" s="5">
        <v>69</v>
      </c>
      <c r="J147">
        <v>75</v>
      </c>
      <c r="P147" s="6">
        <v>56</v>
      </c>
    </row>
    <row r="148" spans="1:16" x14ac:dyDescent="0.3">
      <c r="A148" s="6">
        <v>141</v>
      </c>
      <c r="B148" t="s">
        <v>233</v>
      </c>
      <c r="C148" s="2" t="s">
        <v>234</v>
      </c>
      <c r="D148" t="s">
        <v>15</v>
      </c>
      <c r="F148" t="s">
        <v>1599</v>
      </c>
      <c r="G148" t="s">
        <v>1606</v>
      </c>
      <c r="H148" s="5">
        <v>82</v>
      </c>
      <c r="J148">
        <v>70</v>
      </c>
      <c r="P148" s="6">
        <v>58</v>
      </c>
    </row>
    <row r="149" spans="1:16" x14ac:dyDescent="0.3">
      <c r="A149" s="6">
        <v>142</v>
      </c>
      <c r="B149" t="s">
        <v>235</v>
      </c>
      <c r="C149" s="2" t="s">
        <v>236</v>
      </c>
      <c r="D149" t="s">
        <v>15</v>
      </c>
      <c r="F149" t="s">
        <v>1599</v>
      </c>
      <c r="G149" t="s">
        <v>1606</v>
      </c>
      <c r="H149" s="5">
        <v>31</v>
      </c>
      <c r="J149">
        <v>170</v>
      </c>
      <c r="P149" s="6">
        <v>135</v>
      </c>
    </row>
    <row r="150" spans="1:16" x14ac:dyDescent="0.3">
      <c r="A150" s="6">
        <v>143</v>
      </c>
      <c r="B150" t="s">
        <v>237</v>
      </c>
      <c r="C150" s="2" t="s">
        <v>238</v>
      </c>
      <c r="D150" t="s">
        <v>15</v>
      </c>
      <c r="F150" t="s">
        <v>1599</v>
      </c>
      <c r="G150" t="s">
        <v>1606</v>
      </c>
      <c r="H150" s="5">
        <v>86</v>
      </c>
      <c r="J150">
        <v>65</v>
      </c>
      <c r="P150" s="6">
        <v>52</v>
      </c>
    </row>
    <row r="151" spans="1:16" x14ac:dyDescent="0.3">
      <c r="A151" s="6">
        <v>144</v>
      </c>
      <c r="B151" t="s">
        <v>239</v>
      </c>
      <c r="C151" s="2" t="s">
        <v>240</v>
      </c>
      <c r="D151" t="s">
        <v>15</v>
      </c>
      <c r="F151" t="s">
        <v>1599</v>
      </c>
      <c r="G151" t="s">
        <v>1606</v>
      </c>
      <c r="H151" s="5">
        <v>97</v>
      </c>
      <c r="J151">
        <v>75</v>
      </c>
      <c r="P151" s="6">
        <v>58</v>
      </c>
    </row>
    <row r="152" spans="1:16" x14ac:dyDescent="0.3">
      <c r="A152" s="6">
        <v>145</v>
      </c>
      <c r="B152" t="s">
        <v>241</v>
      </c>
      <c r="C152" s="2">
        <v>778</v>
      </c>
      <c r="D152" t="s">
        <v>15</v>
      </c>
      <c r="F152" t="s">
        <v>1599</v>
      </c>
      <c r="G152" t="s">
        <v>1606</v>
      </c>
      <c r="H152" s="5">
        <v>408</v>
      </c>
      <c r="J152">
        <v>55</v>
      </c>
      <c r="P152" s="6">
        <v>43</v>
      </c>
    </row>
    <row r="153" spans="1:16" x14ac:dyDescent="0.3">
      <c r="A153" s="6">
        <v>146</v>
      </c>
      <c r="B153" t="s">
        <v>242</v>
      </c>
      <c r="C153" s="2" t="s">
        <v>243</v>
      </c>
      <c r="D153" t="s">
        <v>15</v>
      </c>
      <c r="F153" t="s">
        <v>1599</v>
      </c>
      <c r="G153" t="s">
        <v>1606</v>
      </c>
      <c r="H153" s="5">
        <v>110</v>
      </c>
      <c r="J153">
        <v>70</v>
      </c>
      <c r="P153" s="6">
        <v>45</v>
      </c>
    </row>
    <row r="154" spans="1:16" x14ac:dyDescent="0.3">
      <c r="A154" s="6">
        <v>147</v>
      </c>
      <c r="B154" t="s">
        <v>244</v>
      </c>
      <c r="C154" s="2" t="s">
        <v>245</v>
      </c>
      <c r="D154" t="s">
        <v>15</v>
      </c>
      <c r="F154" t="s">
        <v>1599</v>
      </c>
      <c r="G154" t="s">
        <v>1606</v>
      </c>
      <c r="H154" s="5">
        <v>68</v>
      </c>
      <c r="J154">
        <v>50</v>
      </c>
      <c r="P154" s="6">
        <v>36</v>
      </c>
    </row>
    <row r="155" spans="1:16" x14ac:dyDescent="0.3">
      <c r="A155" s="6">
        <v>148</v>
      </c>
      <c r="B155" t="s">
        <v>246</v>
      </c>
      <c r="C155" s="2" t="s">
        <v>247</v>
      </c>
      <c r="D155" t="s">
        <v>15</v>
      </c>
      <c r="F155" t="s">
        <v>1599</v>
      </c>
      <c r="G155" t="s">
        <v>1606</v>
      </c>
      <c r="H155" s="5">
        <f>60+29</f>
        <v>89</v>
      </c>
      <c r="J155">
        <v>90</v>
      </c>
      <c r="P155" s="6">
        <v>74</v>
      </c>
    </row>
    <row r="156" spans="1:16" x14ac:dyDescent="0.3">
      <c r="A156" s="6">
        <v>149</v>
      </c>
      <c r="B156" t="s">
        <v>248</v>
      </c>
      <c r="C156" s="2" t="s">
        <v>249</v>
      </c>
      <c r="D156" t="s">
        <v>15</v>
      </c>
      <c r="F156" t="s">
        <v>1599</v>
      </c>
      <c r="G156" t="s">
        <v>1606</v>
      </c>
      <c r="H156" s="5">
        <f>95+66</f>
        <v>161</v>
      </c>
      <c r="J156">
        <v>50</v>
      </c>
      <c r="P156" s="6">
        <v>39</v>
      </c>
    </row>
    <row r="157" spans="1:16" x14ac:dyDescent="0.3">
      <c r="A157" s="6">
        <v>150</v>
      </c>
      <c r="B157" t="s">
        <v>250</v>
      </c>
      <c r="C157" s="2" t="s">
        <v>251</v>
      </c>
      <c r="D157" t="s">
        <v>15</v>
      </c>
      <c r="F157" t="s">
        <v>1599</v>
      </c>
      <c r="G157" t="s">
        <v>1606</v>
      </c>
      <c r="H157" s="5">
        <v>31</v>
      </c>
      <c r="J157">
        <v>100</v>
      </c>
      <c r="P157" s="6">
        <v>82</v>
      </c>
    </row>
    <row r="158" spans="1:16" x14ac:dyDescent="0.3">
      <c r="A158" s="6">
        <v>151</v>
      </c>
      <c r="B158" t="s">
        <v>250</v>
      </c>
      <c r="C158" s="2" t="s">
        <v>252</v>
      </c>
      <c r="D158" t="s">
        <v>15</v>
      </c>
      <c r="F158" t="s">
        <v>1599</v>
      </c>
      <c r="G158" t="s">
        <v>1606</v>
      </c>
      <c r="H158" s="5">
        <v>19</v>
      </c>
      <c r="J158">
        <v>100</v>
      </c>
      <c r="P158" s="6">
        <v>82</v>
      </c>
    </row>
    <row r="159" spans="1:16" x14ac:dyDescent="0.3">
      <c r="A159" s="6">
        <v>152</v>
      </c>
      <c r="B159" t="s">
        <v>253</v>
      </c>
      <c r="C159" s="2" t="s">
        <v>254</v>
      </c>
      <c r="D159" t="s">
        <v>15</v>
      </c>
      <c r="F159" t="s">
        <v>1599</v>
      </c>
      <c r="G159" t="s">
        <v>1606</v>
      </c>
      <c r="H159" s="5">
        <v>309</v>
      </c>
      <c r="J159">
        <v>30</v>
      </c>
      <c r="P159" s="6">
        <v>20</v>
      </c>
    </row>
    <row r="160" spans="1:16" x14ac:dyDescent="0.3">
      <c r="A160" s="6">
        <v>153</v>
      </c>
      <c r="B160" t="s">
        <v>255</v>
      </c>
      <c r="C160" s="2">
        <v>9018</v>
      </c>
      <c r="D160" t="s">
        <v>15</v>
      </c>
      <c r="F160" t="s">
        <v>1599</v>
      </c>
      <c r="G160" t="s">
        <v>1606</v>
      </c>
      <c r="H160" s="5">
        <v>47</v>
      </c>
      <c r="J160">
        <v>145</v>
      </c>
      <c r="P160" s="6">
        <v>110</v>
      </c>
    </row>
    <row r="161" spans="1:16" x14ac:dyDescent="0.3">
      <c r="A161" s="6">
        <v>154</v>
      </c>
      <c r="B161" t="s">
        <v>256</v>
      </c>
      <c r="C161" s="2" t="s">
        <v>257</v>
      </c>
      <c r="D161" t="s">
        <v>15</v>
      </c>
      <c r="F161" t="s">
        <v>1599</v>
      </c>
      <c r="G161" t="s">
        <v>1606</v>
      </c>
      <c r="H161" s="5">
        <f>120+12</f>
        <v>132</v>
      </c>
      <c r="J161">
        <v>90</v>
      </c>
      <c r="P161" s="6">
        <v>68</v>
      </c>
    </row>
    <row r="162" spans="1:16" x14ac:dyDescent="0.3">
      <c r="A162" s="6">
        <v>155</v>
      </c>
      <c r="B162" t="s">
        <v>168</v>
      </c>
      <c r="C162" s="2" t="s">
        <v>258</v>
      </c>
      <c r="D162" t="s">
        <v>15</v>
      </c>
      <c r="F162" t="s">
        <v>1599</v>
      </c>
      <c r="G162" t="s">
        <v>1606</v>
      </c>
      <c r="H162" s="5">
        <v>57</v>
      </c>
      <c r="J162">
        <v>75</v>
      </c>
      <c r="P162" s="6">
        <v>55</v>
      </c>
    </row>
    <row r="163" spans="1:16" x14ac:dyDescent="0.3">
      <c r="A163" s="6">
        <v>156</v>
      </c>
      <c r="B163" t="s">
        <v>259</v>
      </c>
      <c r="C163" s="2" t="s">
        <v>260</v>
      </c>
      <c r="D163" t="s">
        <v>15</v>
      </c>
      <c r="F163" t="s">
        <v>1599</v>
      </c>
      <c r="G163" t="s">
        <v>1606</v>
      </c>
      <c r="H163" s="5">
        <v>60</v>
      </c>
      <c r="J163">
        <v>85</v>
      </c>
      <c r="P163" s="6">
        <v>65</v>
      </c>
    </row>
    <row r="164" spans="1:16" x14ac:dyDescent="0.3">
      <c r="A164" s="6">
        <v>157</v>
      </c>
      <c r="B164" t="s">
        <v>262</v>
      </c>
      <c r="C164" s="2" t="s">
        <v>261</v>
      </c>
      <c r="D164" t="s">
        <v>15</v>
      </c>
      <c r="F164" t="s">
        <v>1599</v>
      </c>
      <c r="G164" t="s">
        <v>1606</v>
      </c>
      <c r="H164" s="5">
        <v>86</v>
      </c>
      <c r="J164">
        <v>70</v>
      </c>
      <c r="P164" s="6">
        <v>53</v>
      </c>
    </row>
    <row r="165" spans="1:16" x14ac:dyDescent="0.3">
      <c r="A165" s="6">
        <v>158</v>
      </c>
      <c r="B165" t="s">
        <v>263</v>
      </c>
      <c r="C165" s="2" t="s">
        <v>264</v>
      </c>
      <c r="D165" t="s">
        <v>15</v>
      </c>
      <c r="F165" t="s">
        <v>1599</v>
      </c>
      <c r="G165" t="s">
        <v>1606</v>
      </c>
      <c r="H165" s="5">
        <v>48</v>
      </c>
      <c r="J165">
        <v>75</v>
      </c>
      <c r="P165" s="6">
        <v>53</v>
      </c>
    </row>
    <row r="166" spans="1:16" x14ac:dyDescent="0.3">
      <c r="A166" s="6">
        <v>159</v>
      </c>
      <c r="B166" t="s">
        <v>265</v>
      </c>
      <c r="C166" s="2" t="s">
        <v>266</v>
      </c>
      <c r="D166" t="s">
        <v>15</v>
      </c>
      <c r="F166" t="s">
        <v>1599</v>
      </c>
      <c r="G166" t="s">
        <v>1606</v>
      </c>
      <c r="H166" s="5">
        <v>27</v>
      </c>
      <c r="J166">
        <v>140</v>
      </c>
      <c r="P166" s="6">
        <v>130</v>
      </c>
    </row>
    <row r="167" spans="1:16" x14ac:dyDescent="0.3">
      <c r="A167" s="6">
        <v>160</v>
      </c>
      <c r="B167" t="s">
        <v>267</v>
      </c>
      <c r="C167" s="2" t="s">
        <v>268</v>
      </c>
      <c r="D167" t="s">
        <v>15</v>
      </c>
      <c r="F167" t="s">
        <v>1599</v>
      </c>
      <c r="G167" t="s">
        <v>1606</v>
      </c>
      <c r="H167" s="5">
        <f>144+52</f>
        <v>196</v>
      </c>
      <c r="J167">
        <v>60</v>
      </c>
      <c r="P167" s="6">
        <v>43</v>
      </c>
    </row>
    <row r="168" spans="1:16" x14ac:dyDescent="0.3">
      <c r="A168" s="6">
        <v>161</v>
      </c>
      <c r="B168" t="s">
        <v>269</v>
      </c>
      <c r="C168" s="2" t="s">
        <v>270</v>
      </c>
      <c r="D168" t="s">
        <v>15</v>
      </c>
      <c r="F168" t="s">
        <v>1599</v>
      </c>
      <c r="G168" t="s">
        <v>1606</v>
      </c>
      <c r="H168" s="5">
        <v>16</v>
      </c>
      <c r="J168">
        <v>180</v>
      </c>
      <c r="P168" s="6">
        <v>135</v>
      </c>
    </row>
    <row r="169" spans="1:16" x14ac:dyDescent="0.3">
      <c r="A169" s="6">
        <v>162</v>
      </c>
      <c r="B169" t="s">
        <v>271</v>
      </c>
      <c r="C169" s="2" t="s">
        <v>272</v>
      </c>
      <c r="D169" t="s">
        <v>15</v>
      </c>
      <c r="F169" t="s">
        <v>1599</v>
      </c>
      <c r="G169" t="s">
        <v>1606</v>
      </c>
      <c r="H169" s="5">
        <v>79</v>
      </c>
      <c r="J169">
        <v>60</v>
      </c>
      <c r="P169" s="6">
        <v>40</v>
      </c>
    </row>
    <row r="170" spans="1:16" x14ac:dyDescent="0.3">
      <c r="A170" s="6">
        <v>163</v>
      </c>
      <c r="B170" t="s">
        <v>273</v>
      </c>
      <c r="C170" s="2" t="s">
        <v>274</v>
      </c>
      <c r="D170" t="s">
        <v>15</v>
      </c>
      <c r="F170" t="s">
        <v>1599</v>
      </c>
      <c r="G170" t="s">
        <v>1606</v>
      </c>
      <c r="H170" s="5">
        <v>33</v>
      </c>
      <c r="J170">
        <v>120</v>
      </c>
      <c r="P170" s="6">
        <v>90</v>
      </c>
    </row>
    <row r="171" spans="1:16" x14ac:dyDescent="0.3">
      <c r="A171" s="6">
        <v>164</v>
      </c>
      <c r="B171" t="s">
        <v>275</v>
      </c>
      <c r="C171" s="2" t="s">
        <v>276</v>
      </c>
      <c r="D171" t="s">
        <v>15</v>
      </c>
      <c r="F171" t="s">
        <v>1599</v>
      </c>
      <c r="G171" t="s">
        <v>1606</v>
      </c>
      <c r="H171" s="5">
        <v>158</v>
      </c>
      <c r="J171">
        <v>70</v>
      </c>
      <c r="P171" s="6">
        <v>55</v>
      </c>
    </row>
    <row r="172" spans="1:16" x14ac:dyDescent="0.3">
      <c r="A172" s="6">
        <v>165</v>
      </c>
      <c r="B172" t="s">
        <v>277</v>
      </c>
      <c r="C172" s="2" t="s">
        <v>278</v>
      </c>
      <c r="D172" t="s">
        <v>15</v>
      </c>
      <c r="F172" t="s">
        <v>1599</v>
      </c>
      <c r="G172" t="s">
        <v>1606</v>
      </c>
      <c r="H172" s="5">
        <v>103</v>
      </c>
      <c r="J172">
        <v>100</v>
      </c>
      <c r="P172" s="6">
        <v>70</v>
      </c>
    </row>
    <row r="173" spans="1:16" x14ac:dyDescent="0.3">
      <c r="A173" s="6">
        <v>166</v>
      </c>
      <c r="B173" t="s">
        <v>279</v>
      </c>
      <c r="C173" s="2" t="s">
        <v>280</v>
      </c>
      <c r="D173" t="s">
        <v>15</v>
      </c>
      <c r="F173" t="s">
        <v>1599</v>
      </c>
      <c r="G173" t="s">
        <v>1606</v>
      </c>
      <c r="H173" s="5">
        <v>14</v>
      </c>
      <c r="J173">
        <v>85</v>
      </c>
      <c r="P173" s="6">
        <v>65</v>
      </c>
    </row>
    <row r="174" spans="1:16" x14ac:dyDescent="0.3">
      <c r="A174" s="6">
        <v>167</v>
      </c>
      <c r="B174" t="s">
        <v>281</v>
      </c>
      <c r="C174" s="2" t="s">
        <v>282</v>
      </c>
      <c r="D174" t="s">
        <v>15</v>
      </c>
      <c r="F174" t="s">
        <v>1599</v>
      </c>
      <c r="G174" t="s">
        <v>1606</v>
      </c>
      <c r="H174" s="5">
        <v>4</v>
      </c>
      <c r="J174">
        <v>120</v>
      </c>
      <c r="P174" s="6">
        <v>95</v>
      </c>
    </row>
    <row r="175" spans="1:16" x14ac:dyDescent="0.3">
      <c r="A175" s="6">
        <v>168</v>
      </c>
      <c r="B175" t="s">
        <v>283</v>
      </c>
      <c r="C175" s="2">
        <v>3333</v>
      </c>
      <c r="D175" t="s">
        <v>15</v>
      </c>
      <c r="F175" t="s">
        <v>1599</v>
      </c>
      <c r="G175" t="s">
        <v>1606</v>
      </c>
      <c r="H175" s="5">
        <v>36</v>
      </c>
      <c r="J175">
        <v>50</v>
      </c>
      <c r="P175" s="6">
        <v>38</v>
      </c>
    </row>
    <row r="176" spans="1:16" x14ac:dyDescent="0.3">
      <c r="A176" s="6">
        <v>169</v>
      </c>
      <c r="B176" t="s">
        <v>284</v>
      </c>
      <c r="C176" s="2">
        <v>151</v>
      </c>
      <c r="D176" t="s">
        <v>15</v>
      </c>
      <c r="F176" t="s">
        <v>1599</v>
      </c>
      <c r="G176" t="s">
        <v>1606</v>
      </c>
      <c r="H176" s="5">
        <v>112</v>
      </c>
      <c r="J176">
        <v>80</v>
      </c>
      <c r="P176" s="6">
        <v>60</v>
      </c>
    </row>
    <row r="177" spans="1:16" x14ac:dyDescent="0.3">
      <c r="A177" s="6">
        <v>170</v>
      </c>
      <c r="B177" t="s">
        <v>285</v>
      </c>
      <c r="C177" s="2" t="s">
        <v>286</v>
      </c>
      <c r="D177" t="s">
        <v>15</v>
      </c>
      <c r="F177" t="s">
        <v>1599</v>
      </c>
      <c r="G177" t="s">
        <v>1606</v>
      </c>
      <c r="H177" s="5">
        <v>190</v>
      </c>
      <c r="J177">
        <v>80</v>
      </c>
      <c r="P177" s="6">
        <v>57</v>
      </c>
    </row>
    <row r="178" spans="1:16" x14ac:dyDescent="0.3">
      <c r="A178" s="6">
        <v>171</v>
      </c>
      <c r="B178" t="s">
        <v>287</v>
      </c>
      <c r="C178" s="2" t="s">
        <v>288</v>
      </c>
      <c r="D178" t="s">
        <v>15</v>
      </c>
      <c r="F178" t="s">
        <v>1599</v>
      </c>
      <c r="G178" t="s">
        <v>1606</v>
      </c>
      <c r="H178" s="5">
        <v>76</v>
      </c>
      <c r="J178">
        <v>95</v>
      </c>
      <c r="P178" s="6">
        <v>75</v>
      </c>
    </row>
    <row r="179" spans="1:16" x14ac:dyDescent="0.3">
      <c r="A179" s="6">
        <v>172</v>
      </c>
      <c r="B179" t="s">
        <v>262</v>
      </c>
      <c r="C179" s="2" t="s">
        <v>289</v>
      </c>
      <c r="D179" t="s">
        <v>15</v>
      </c>
      <c r="F179" t="s">
        <v>1599</v>
      </c>
      <c r="G179" t="s">
        <v>1606</v>
      </c>
      <c r="H179" s="5">
        <v>315</v>
      </c>
      <c r="J179">
        <v>50</v>
      </c>
      <c r="P179" s="6">
        <v>34</v>
      </c>
    </row>
    <row r="180" spans="1:16" x14ac:dyDescent="0.3">
      <c r="A180" s="6">
        <v>173</v>
      </c>
      <c r="B180" t="s">
        <v>290</v>
      </c>
      <c r="C180" s="2" t="s">
        <v>291</v>
      </c>
      <c r="D180" t="s">
        <v>15</v>
      </c>
      <c r="F180" t="s">
        <v>1599</v>
      </c>
      <c r="G180" t="s">
        <v>1606</v>
      </c>
      <c r="H180" s="5">
        <f>36+10</f>
        <v>46</v>
      </c>
      <c r="J180">
        <v>180</v>
      </c>
      <c r="P180" s="6">
        <v>120</v>
      </c>
    </row>
    <row r="181" spans="1:16" x14ac:dyDescent="0.3">
      <c r="A181" s="6">
        <v>174</v>
      </c>
      <c r="B181" t="s">
        <v>292</v>
      </c>
      <c r="C181" s="2" t="s">
        <v>293</v>
      </c>
      <c r="D181" t="s">
        <v>15</v>
      </c>
      <c r="F181" t="s">
        <v>1599</v>
      </c>
      <c r="G181" t="s">
        <v>1606</v>
      </c>
      <c r="H181" s="5">
        <v>33</v>
      </c>
      <c r="J181">
        <v>95</v>
      </c>
      <c r="P181" s="6">
        <v>70</v>
      </c>
    </row>
    <row r="182" spans="1:16" x14ac:dyDescent="0.3">
      <c r="A182" s="6">
        <v>175</v>
      </c>
      <c r="B182" t="s">
        <v>294</v>
      </c>
      <c r="C182" s="2" t="s">
        <v>295</v>
      </c>
      <c r="D182" t="s">
        <v>15</v>
      </c>
      <c r="F182" t="s">
        <v>1599</v>
      </c>
      <c r="G182" t="s">
        <v>1606</v>
      </c>
      <c r="H182" s="5">
        <v>44</v>
      </c>
      <c r="J182">
        <v>85</v>
      </c>
      <c r="P182" s="6">
        <v>63</v>
      </c>
    </row>
    <row r="183" spans="1:16" x14ac:dyDescent="0.3">
      <c r="A183" s="6">
        <v>176</v>
      </c>
      <c r="B183" t="s">
        <v>297</v>
      </c>
      <c r="C183" s="2" t="s">
        <v>296</v>
      </c>
      <c r="D183" t="s">
        <v>15</v>
      </c>
      <c r="F183" t="s">
        <v>1599</v>
      </c>
      <c r="G183" t="s">
        <v>1606</v>
      </c>
      <c r="H183" s="5">
        <v>142</v>
      </c>
      <c r="J183">
        <v>45</v>
      </c>
      <c r="P183" s="6">
        <v>35</v>
      </c>
    </row>
    <row r="184" spans="1:16" x14ac:dyDescent="0.3">
      <c r="A184" s="6">
        <v>177</v>
      </c>
      <c r="B184" t="s">
        <v>262</v>
      </c>
      <c r="C184" s="2" t="s">
        <v>298</v>
      </c>
      <c r="D184" t="s">
        <v>15</v>
      </c>
      <c r="F184" t="s">
        <v>1599</v>
      </c>
      <c r="G184" t="s">
        <v>1606</v>
      </c>
      <c r="H184" s="5">
        <v>420</v>
      </c>
      <c r="J184">
        <v>50</v>
      </c>
      <c r="P184" s="6">
        <v>38</v>
      </c>
    </row>
    <row r="185" spans="1:16" x14ac:dyDescent="0.3">
      <c r="A185" s="6">
        <v>178</v>
      </c>
      <c r="B185" t="s">
        <v>299</v>
      </c>
      <c r="C185" s="2" t="s">
        <v>300</v>
      </c>
      <c r="D185" t="s">
        <v>15</v>
      </c>
      <c r="F185" t="s">
        <v>1599</v>
      </c>
      <c r="G185" t="s">
        <v>1606</v>
      </c>
      <c r="H185" s="5">
        <v>13</v>
      </c>
      <c r="J185">
        <v>240</v>
      </c>
      <c r="P185" s="6">
        <v>175</v>
      </c>
    </row>
    <row r="186" spans="1:16" x14ac:dyDescent="0.3">
      <c r="A186" s="6">
        <v>179</v>
      </c>
      <c r="B186" t="s">
        <v>301</v>
      </c>
      <c r="C186" s="2">
        <v>3321</v>
      </c>
      <c r="D186" t="s">
        <v>15</v>
      </c>
      <c r="F186" t="s">
        <v>1599</v>
      </c>
      <c r="G186" t="s">
        <v>1606</v>
      </c>
      <c r="H186" s="5">
        <v>47</v>
      </c>
      <c r="J186">
        <v>70</v>
      </c>
      <c r="P186" s="6">
        <v>55</v>
      </c>
    </row>
    <row r="187" spans="1:16" x14ac:dyDescent="0.3">
      <c r="A187" s="6">
        <v>180</v>
      </c>
      <c r="B187" t="s">
        <v>302</v>
      </c>
      <c r="C187" s="2" t="s">
        <v>303</v>
      </c>
      <c r="D187" t="s">
        <v>15</v>
      </c>
      <c r="F187" t="s">
        <v>1599</v>
      </c>
      <c r="G187" t="s">
        <v>1606</v>
      </c>
      <c r="H187" s="5">
        <v>96</v>
      </c>
      <c r="J187">
        <v>125</v>
      </c>
      <c r="P187" s="6">
        <v>97</v>
      </c>
    </row>
    <row r="188" spans="1:16" x14ac:dyDescent="0.3">
      <c r="A188" s="6">
        <v>181</v>
      </c>
      <c r="B188" t="s">
        <v>304</v>
      </c>
      <c r="C188" s="2" t="s">
        <v>305</v>
      </c>
      <c r="D188" t="s">
        <v>15</v>
      </c>
      <c r="F188" t="s">
        <v>1599</v>
      </c>
      <c r="G188" t="s">
        <v>1606</v>
      </c>
      <c r="H188" s="5">
        <v>71</v>
      </c>
      <c r="J188">
        <v>90</v>
      </c>
      <c r="P188" s="6">
        <v>58</v>
      </c>
    </row>
    <row r="189" spans="1:16" x14ac:dyDescent="0.3">
      <c r="A189" s="6">
        <v>182</v>
      </c>
      <c r="B189" t="s">
        <v>306</v>
      </c>
      <c r="C189" s="2" t="s">
        <v>307</v>
      </c>
      <c r="D189" t="s">
        <v>15</v>
      </c>
      <c r="F189" t="s">
        <v>1599</v>
      </c>
      <c r="G189" t="s">
        <v>1606</v>
      </c>
      <c r="H189" s="5">
        <v>70</v>
      </c>
      <c r="J189">
        <v>120</v>
      </c>
      <c r="P189" s="6">
        <v>95</v>
      </c>
    </row>
    <row r="190" spans="1:16" x14ac:dyDescent="0.3">
      <c r="A190" s="6">
        <v>183</v>
      </c>
      <c r="B190" t="s">
        <v>308</v>
      </c>
      <c r="C190" s="2">
        <v>205</v>
      </c>
      <c r="D190" t="s">
        <v>15</v>
      </c>
      <c r="F190" t="s">
        <v>1599</v>
      </c>
      <c r="G190" t="s">
        <v>1606</v>
      </c>
      <c r="H190" s="5">
        <v>49</v>
      </c>
      <c r="J190">
        <v>110</v>
      </c>
      <c r="P190" s="6">
        <v>85</v>
      </c>
    </row>
    <row r="191" spans="1:16" x14ac:dyDescent="0.3">
      <c r="A191" s="6">
        <v>184</v>
      </c>
      <c r="B191" t="s">
        <v>309</v>
      </c>
      <c r="C191" s="2" t="s">
        <v>310</v>
      </c>
      <c r="D191" t="s">
        <v>15</v>
      </c>
      <c r="F191" t="s">
        <v>1599</v>
      </c>
      <c r="G191" t="s">
        <v>1606</v>
      </c>
      <c r="H191" s="5">
        <v>104</v>
      </c>
      <c r="J191">
        <v>60</v>
      </c>
      <c r="P191" s="6">
        <v>48</v>
      </c>
    </row>
    <row r="192" spans="1:16" x14ac:dyDescent="0.3">
      <c r="A192" s="6">
        <v>185</v>
      </c>
      <c r="B192" t="s">
        <v>311</v>
      </c>
      <c r="C192" s="2" t="s">
        <v>312</v>
      </c>
      <c r="D192" t="s">
        <v>15</v>
      </c>
      <c r="F192" t="s">
        <v>1599</v>
      </c>
      <c r="G192" t="s">
        <v>1606</v>
      </c>
      <c r="H192" s="5">
        <v>160</v>
      </c>
      <c r="J192">
        <v>35</v>
      </c>
      <c r="P192" s="6">
        <v>25</v>
      </c>
    </row>
    <row r="193" spans="1:16" x14ac:dyDescent="0.3">
      <c r="A193" s="6">
        <v>186</v>
      </c>
      <c r="B193" t="s">
        <v>313</v>
      </c>
      <c r="C193" s="2" t="s">
        <v>314</v>
      </c>
      <c r="D193" t="s">
        <v>15</v>
      </c>
      <c r="F193" t="s">
        <v>1599</v>
      </c>
      <c r="G193" t="s">
        <v>1606</v>
      </c>
      <c r="H193" s="5">
        <v>102</v>
      </c>
      <c r="J193">
        <v>75</v>
      </c>
      <c r="P193" s="6">
        <v>58</v>
      </c>
    </row>
    <row r="194" spans="1:16" x14ac:dyDescent="0.3">
      <c r="A194" s="6">
        <v>187</v>
      </c>
      <c r="B194" t="s">
        <v>354</v>
      </c>
      <c r="D194" t="s">
        <v>15</v>
      </c>
      <c r="F194" t="s">
        <v>1599</v>
      </c>
      <c r="G194" t="s">
        <v>1606</v>
      </c>
      <c r="H194" s="5">
        <v>183</v>
      </c>
      <c r="J194">
        <v>60</v>
      </c>
      <c r="P194" s="6">
        <v>47</v>
      </c>
    </row>
    <row r="195" spans="1:16" x14ac:dyDescent="0.3">
      <c r="A195" s="6">
        <v>188</v>
      </c>
      <c r="B195" t="s">
        <v>277</v>
      </c>
      <c r="C195" s="2" t="s">
        <v>315</v>
      </c>
      <c r="D195" t="s">
        <v>15</v>
      </c>
      <c r="F195" t="s">
        <v>1599</v>
      </c>
      <c r="G195" t="s">
        <v>1606</v>
      </c>
      <c r="H195" s="5">
        <v>91</v>
      </c>
      <c r="J195">
        <v>70</v>
      </c>
      <c r="P195" s="6">
        <v>46</v>
      </c>
    </row>
    <row r="196" spans="1:16" x14ac:dyDescent="0.3">
      <c r="A196" s="6">
        <v>189</v>
      </c>
      <c r="B196" t="s">
        <v>316</v>
      </c>
      <c r="C196" s="2" t="s">
        <v>317</v>
      </c>
      <c r="D196" t="s">
        <v>15</v>
      </c>
      <c r="F196" t="s">
        <v>1599</v>
      </c>
      <c r="G196" t="s">
        <v>1606</v>
      </c>
      <c r="H196" s="5">
        <v>278</v>
      </c>
      <c r="J196">
        <v>25</v>
      </c>
      <c r="P196" s="6">
        <v>20</v>
      </c>
    </row>
    <row r="197" spans="1:16" x14ac:dyDescent="0.3">
      <c r="A197" s="6">
        <v>190</v>
      </c>
      <c r="B197" t="s">
        <v>318</v>
      </c>
      <c r="C197" s="2" t="s">
        <v>319</v>
      </c>
      <c r="D197" t="s">
        <v>15</v>
      </c>
      <c r="F197" t="s">
        <v>1599</v>
      </c>
      <c r="G197" t="s">
        <v>1606</v>
      </c>
      <c r="H197" s="5">
        <v>269</v>
      </c>
      <c r="J197">
        <v>45</v>
      </c>
      <c r="P197" s="6">
        <v>35</v>
      </c>
    </row>
    <row r="198" spans="1:16" x14ac:dyDescent="0.3">
      <c r="A198" s="6">
        <v>191</v>
      </c>
      <c r="B198" t="s">
        <v>320</v>
      </c>
      <c r="D198" t="s">
        <v>15</v>
      </c>
      <c r="F198" t="s">
        <v>1599</v>
      </c>
      <c r="G198" t="s">
        <v>1606</v>
      </c>
      <c r="H198" s="5">
        <v>542</v>
      </c>
      <c r="J198">
        <v>25</v>
      </c>
      <c r="P198" s="6">
        <v>20</v>
      </c>
    </row>
    <row r="199" spans="1:16" x14ac:dyDescent="0.3">
      <c r="A199" s="6">
        <v>192</v>
      </c>
      <c r="B199" t="s">
        <v>321</v>
      </c>
      <c r="C199" s="2" t="s">
        <v>322</v>
      </c>
      <c r="D199" t="s">
        <v>15</v>
      </c>
      <c r="F199" t="s">
        <v>1599</v>
      </c>
      <c r="G199" t="s">
        <v>1606</v>
      </c>
      <c r="H199" s="5">
        <v>292</v>
      </c>
      <c r="J199">
        <v>45</v>
      </c>
      <c r="P199" s="6">
        <v>40</v>
      </c>
    </row>
    <row r="200" spans="1:16" x14ac:dyDescent="0.3">
      <c r="A200" s="6">
        <v>193</v>
      </c>
      <c r="B200" t="s">
        <v>323</v>
      </c>
      <c r="C200" s="2" t="s">
        <v>324</v>
      </c>
      <c r="D200" t="s">
        <v>15</v>
      </c>
      <c r="F200" t="s">
        <v>1599</v>
      </c>
      <c r="G200" t="s">
        <v>1606</v>
      </c>
      <c r="H200" s="5">
        <v>240</v>
      </c>
      <c r="J200">
        <v>75</v>
      </c>
      <c r="P200" s="6">
        <v>55</v>
      </c>
    </row>
    <row r="201" spans="1:16" x14ac:dyDescent="0.3">
      <c r="A201" s="6">
        <v>194</v>
      </c>
      <c r="B201" t="s">
        <v>325</v>
      </c>
      <c r="C201" s="2" t="s">
        <v>326</v>
      </c>
      <c r="D201" t="s">
        <v>15</v>
      </c>
      <c r="F201" t="s">
        <v>1599</v>
      </c>
      <c r="G201" t="s">
        <v>1606</v>
      </c>
      <c r="H201" s="5">
        <v>207</v>
      </c>
      <c r="J201">
        <v>70</v>
      </c>
      <c r="P201" s="6">
        <v>51</v>
      </c>
    </row>
    <row r="202" spans="1:16" x14ac:dyDescent="0.3">
      <c r="A202" s="6">
        <v>195</v>
      </c>
      <c r="B202" t="s">
        <v>327</v>
      </c>
      <c r="C202" s="2" t="s">
        <v>328</v>
      </c>
      <c r="D202" t="s">
        <v>15</v>
      </c>
      <c r="F202" t="s">
        <v>1599</v>
      </c>
      <c r="G202" t="s">
        <v>1606</v>
      </c>
      <c r="H202" s="5">
        <v>173</v>
      </c>
      <c r="J202">
        <v>65</v>
      </c>
      <c r="P202" s="6">
        <v>50</v>
      </c>
    </row>
    <row r="203" spans="1:16" x14ac:dyDescent="0.3">
      <c r="A203" s="6">
        <v>196</v>
      </c>
      <c r="B203" t="s">
        <v>327</v>
      </c>
      <c r="C203" s="2" t="s">
        <v>329</v>
      </c>
      <c r="D203" t="s">
        <v>15</v>
      </c>
      <c r="F203" t="s">
        <v>1599</v>
      </c>
      <c r="G203" t="s">
        <v>1606</v>
      </c>
      <c r="H203" s="5">
        <v>88</v>
      </c>
      <c r="J203">
        <v>60</v>
      </c>
      <c r="P203" s="6">
        <v>48</v>
      </c>
    </row>
    <row r="204" spans="1:16" x14ac:dyDescent="0.3">
      <c r="A204" s="6">
        <v>197</v>
      </c>
      <c r="B204" t="s">
        <v>109</v>
      </c>
      <c r="C204" s="2">
        <v>108</v>
      </c>
      <c r="D204" t="s">
        <v>15</v>
      </c>
      <c r="F204" t="s">
        <v>1599</v>
      </c>
      <c r="G204" t="s">
        <v>1606</v>
      </c>
      <c r="H204" s="5">
        <v>56</v>
      </c>
      <c r="J204">
        <v>48</v>
      </c>
      <c r="P204" s="6">
        <v>36</v>
      </c>
    </row>
    <row r="205" spans="1:16" x14ac:dyDescent="0.3">
      <c r="A205" s="6">
        <v>198</v>
      </c>
      <c r="B205" t="s">
        <v>330</v>
      </c>
      <c r="D205" t="s">
        <v>15</v>
      </c>
      <c r="F205" t="s">
        <v>1599</v>
      </c>
      <c r="G205" t="s">
        <v>1606</v>
      </c>
      <c r="H205" s="5">
        <v>110</v>
      </c>
      <c r="J205">
        <v>80</v>
      </c>
      <c r="P205" s="6">
        <v>65</v>
      </c>
    </row>
    <row r="206" spans="1:16" x14ac:dyDescent="0.3">
      <c r="A206" s="6">
        <v>199</v>
      </c>
      <c r="B206" t="s">
        <v>30</v>
      </c>
      <c r="C206" s="2" t="s">
        <v>331</v>
      </c>
      <c r="D206" t="s">
        <v>15</v>
      </c>
      <c r="F206" t="s">
        <v>1599</v>
      </c>
      <c r="G206" t="s">
        <v>1606</v>
      </c>
      <c r="H206" s="5">
        <v>14</v>
      </c>
      <c r="J206">
        <v>115</v>
      </c>
      <c r="P206" s="6">
        <v>90</v>
      </c>
    </row>
    <row r="207" spans="1:16" x14ac:dyDescent="0.3">
      <c r="A207" s="6">
        <v>200</v>
      </c>
      <c r="B207" t="s">
        <v>332</v>
      </c>
      <c r="C207" s="2">
        <v>589</v>
      </c>
      <c r="D207" t="s">
        <v>15</v>
      </c>
      <c r="F207" t="s">
        <v>1599</v>
      </c>
      <c r="G207" t="s">
        <v>1606</v>
      </c>
      <c r="H207" s="5">
        <v>28</v>
      </c>
      <c r="J207">
        <v>100</v>
      </c>
      <c r="P207" s="6">
        <v>80</v>
      </c>
    </row>
    <row r="208" spans="1:16" x14ac:dyDescent="0.3">
      <c r="A208" s="6">
        <v>201</v>
      </c>
      <c r="B208" t="s">
        <v>333</v>
      </c>
      <c r="C208" s="2" t="s">
        <v>334</v>
      </c>
      <c r="D208" t="s">
        <v>15</v>
      </c>
      <c r="F208" t="s">
        <v>1599</v>
      </c>
      <c r="G208" t="s">
        <v>1606</v>
      </c>
      <c r="H208" s="5">
        <v>102</v>
      </c>
      <c r="J208">
        <v>70</v>
      </c>
      <c r="P208" s="6">
        <v>53</v>
      </c>
    </row>
    <row r="209" spans="1:16" x14ac:dyDescent="0.3">
      <c r="A209" s="6">
        <v>202</v>
      </c>
      <c r="B209" t="s">
        <v>336</v>
      </c>
      <c r="C209" s="2" t="s">
        <v>335</v>
      </c>
      <c r="D209" t="s">
        <v>15</v>
      </c>
      <c r="F209" t="s">
        <v>1599</v>
      </c>
      <c r="G209" t="s">
        <v>1606</v>
      </c>
      <c r="H209" s="5">
        <v>165</v>
      </c>
      <c r="J209">
        <v>70</v>
      </c>
      <c r="P209" s="6">
        <v>45</v>
      </c>
    </row>
    <row r="210" spans="1:16" x14ac:dyDescent="0.3">
      <c r="A210" s="6">
        <v>203</v>
      </c>
      <c r="B210" t="s">
        <v>337</v>
      </c>
      <c r="C210" s="2" t="s">
        <v>338</v>
      </c>
      <c r="D210" t="s">
        <v>15</v>
      </c>
      <c r="F210" t="s">
        <v>1599</v>
      </c>
      <c r="G210" t="s">
        <v>1606</v>
      </c>
      <c r="H210" s="5">
        <v>21</v>
      </c>
      <c r="J210">
        <v>120</v>
      </c>
      <c r="P210" s="6">
        <v>93</v>
      </c>
    </row>
    <row r="211" spans="1:16" x14ac:dyDescent="0.3">
      <c r="A211" s="6">
        <v>204</v>
      </c>
      <c r="B211" t="s">
        <v>64</v>
      </c>
      <c r="C211" s="2" t="s">
        <v>339</v>
      </c>
      <c r="D211" t="s">
        <v>15</v>
      </c>
      <c r="F211" t="s">
        <v>1599</v>
      </c>
      <c r="G211" t="s">
        <v>1606</v>
      </c>
      <c r="H211" s="5">
        <v>25</v>
      </c>
      <c r="J211">
        <v>95</v>
      </c>
      <c r="P211" s="6">
        <v>72</v>
      </c>
    </row>
    <row r="212" spans="1:16" x14ac:dyDescent="0.3">
      <c r="A212" s="6">
        <v>205</v>
      </c>
      <c r="B212" t="s">
        <v>340</v>
      </c>
      <c r="C212" s="2" t="s">
        <v>341</v>
      </c>
      <c r="D212" t="s">
        <v>15</v>
      </c>
      <c r="F212" t="s">
        <v>1599</v>
      </c>
      <c r="G212" t="s">
        <v>1606</v>
      </c>
      <c r="H212" s="5">
        <v>99</v>
      </c>
      <c r="J212">
        <v>180</v>
      </c>
      <c r="P212" s="6">
        <v>140</v>
      </c>
    </row>
    <row r="213" spans="1:16" x14ac:dyDescent="0.3">
      <c r="A213" s="6">
        <v>206</v>
      </c>
      <c r="B213" t="s">
        <v>64</v>
      </c>
      <c r="C213" s="2" t="s">
        <v>342</v>
      </c>
      <c r="D213" t="s">
        <v>15</v>
      </c>
      <c r="F213" t="s">
        <v>1599</v>
      </c>
      <c r="G213" t="s">
        <v>1606</v>
      </c>
      <c r="H213" s="5">
        <f>48+23</f>
        <v>71</v>
      </c>
      <c r="J213">
        <v>100</v>
      </c>
      <c r="P213" s="6">
        <v>80</v>
      </c>
    </row>
    <row r="214" spans="1:16" x14ac:dyDescent="0.3">
      <c r="A214" s="6">
        <v>207</v>
      </c>
      <c r="B214" t="s">
        <v>343</v>
      </c>
      <c r="C214" s="2" t="s">
        <v>344</v>
      </c>
      <c r="D214" t="s">
        <v>15</v>
      </c>
      <c r="F214" t="s">
        <v>1599</v>
      </c>
      <c r="G214" t="s">
        <v>1606</v>
      </c>
      <c r="H214" s="5">
        <v>17</v>
      </c>
      <c r="J214">
        <v>140</v>
      </c>
      <c r="P214" s="6">
        <v>110</v>
      </c>
    </row>
    <row r="215" spans="1:16" x14ac:dyDescent="0.3">
      <c r="A215" s="6">
        <v>208</v>
      </c>
      <c r="B215" t="s">
        <v>345</v>
      </c>
      <c r="C215" s="2" t="s">
        <v>346</v>
      </c>
      <c r="D215" t="s">
        <v>15</v>
      </c>
      <c r="F215" t="s">
        <v>1599</v>
      </c>
      <c r="G215" t="s">
        <v>1606</v>
      </c>
      <c r="H215" s="5">
        <v>245</v>
      </c>
      <c r="J215">
        <v>45</v>
      </c>
      <c r="P215" s="6">
        <v>35</v>
      </c>
    </row>
    <row r="216" spans="1:16" x14ac:dyDescent="0.3">
      <c r="A216" s="6">
        <v>209</v>
      </c>
      <c r="B216" t="s">
        <v>347</v>
      </c>
      <c r="C216" s="2" t="s">
        <v>348</v>
      </c>
      <c r="D216" t="s">
        <v>15</v>
      </c>
      <c r="F216" t="s">
        <v>1599</v>
      </c>
      <c r="G216" t="s">
        <v>1606</v>
      </c>
      <c r="H216" s="5">
        <v>44</v>
      </c>
      <c r="J216">
        <v>55</v>
      </c>
      <c r="P216" s="6">
        <v>44</v>
      </c>
    </row>
    <row r="217" spans="1:16" x14ac:dyDescent="0.3">
      <c r="A217" s="6">
        <v>210</v>
      </c>
      <c r="B217" t="s">
        <v>51</v>
      </c>
      <c r="C217" s="2" t="s">
        <v>349</v>
      </c>
      <c r="D217" t="s">
        <v>15</v>
      </c>
      <c r="F217" t="s">
        <v>1599</v>
      </c>
      <c r="G217" t="s">
        <v>1606</v>
      </c>
      <c r="H217" s="5">
        <v>94</v>
      </c>
      <c r="J217">
        <v>35</v>
      </c>
      <c r="P217" s="6">
        <v>26</v>
      </c>
    </row>
    <row r="218" spans="1:16" x14ac:dyDescent="0.3">
      <c r="A218" s="6">
        <v>211</v>
      </c>
      <c r="B218" t="s">
        <v>350</v>
      </c>
      <c r="D218" t="s">
        <v>15</v>
      </c>
      <c r="F218" t="s">
        <v>1599</v>
      </c>
      <c r="G218" t="s">
        <v>1606</v>
      </c>
      <c r="H218" s="5">
        <v>193</v>
      </c>
      <c r="J218">
        <v>85</v>
      </c>
      <c r="P218" s="6">
        <v>65</v>
      </c>
    </row>
    <row r="219" spans="1:16" x14ac:dyDescent="0.3">
      <c r="A219" s="6">
        <v>212</v>
      </c>
      <c r="B219" t="s">
        <v>351</v>
      </c>
      <c r="D219" t="s">
        <v>15</v>
      </c>
      <c r="F219" t="s">
        <v>1599</v>
      </c>
      <c r="G219" t="s">
        <v>1606</v>
      </c>
      <c r="H219" s="5">
        <v>15</v>
      </c>
      <c r="J219">
        <v>50</v>
      </c>
      <c r="P219" s="6">
        <v>26</v>
      </c>
    </row>
    <row r="220" spans="1:16" x14ac:dyDescent="0.3">
      <c r="A220" s="6">
        <v>213</v>
      </c>
      <c r="B220" t="s">
        <v>352</v>
      </c>
      <c r="C220" s="2" t="s">
        <v>353</v>
      </c>
      <c r="D220" t="s">
        <v>15</v>
      </c>
      <c r="F220" t="s">
        <v>1599</v>
      </c>
      <c r="G220" t="s">
        <v>1606</v>
      </c>
      <c r="H220" s="5">
        <f>348+366</f>
        <v>714</v>
      </c>
      <c r="J220">
        <v>50</v>
      </c>
      <c r="P220" s="6">
        <v>36</v>
      </c>
    </row>
    <row r="221" spans="1:16" x14ac:dyDescent="0.3">
      <c r="A221" s="6">
        <v>214</v>
      </c>
      <c r="B221" t="s">
        <v>153</v>
      </c>
      <c r="D221" t="s">
        <v>15</v>
      </c>
      <c r="F221" t="s">
        <v>1599</v>
      </c>
      <c r="G221" t="s">
        <v>1606</v>
      </c>
      <c r="H221" s="5">
        <v>37</v>
      </c>
      <c r="J221">
        <v>25</v>
      </c>
      <c r="P221" s="6">
        <v>19</v>
      </c>
    </row>
    <row r="222" spans="1:16" x14ac:dyDescent="0.3">
      <c r="A222" s="6">
        <v>215</v>
      </c>
      <c r="B222" t="s">
        <v>262</v>
      </c>
      <c r="C222" s="2" t="s">
        <v>355</v>
      </c>
      <c r="D222" t="s">
        <v>15</v>
      </c>
      <c r="F222" t="s">
        <v>1599</v>
      </c>
      <c r="G222" t="s">
        <v>1606</v>
      </c>
      <c r="H222" s="5">
        <v>128</v>
      </c>
      <c r="J222">
        <v>80</v>
      </c>
      <c r="P222" s="6">
        <v>60</v>
      </c>
    </row>
    <row r="223" spans="1:16" x14ac:dyDescent="0.3">
      <c r="A223" s="6">
        <v>216</v>
      </c>
      <c r="B223" t="s">
        <v>356</v>
      </c>
      <c r="C223" s="2" t="s">
        <v>357</v>
      </c>
      <c r="D223" t="s">
        <v>15</v>
      </c>
      <c r="F223" t="s">
        <v>1599</v>
      </c>
      <c r="G223" t="s">
        <v>1606</v>
      </c>
      <c r="H223" s="5">
        <v>35</v>
      </c>
      <c r="J223">
        <v>140</v>
      </c>
      <c r="P223" s="6">
        <v>110</v>
      </c>
    </row>
    <row r="224" spans="1:16" x14ac:dyDescent="0.3">
      <c r="A224" s="6">
        <v>217</v>
      </c>
      <c r="B224" t="s">
        <v>358</v>
      </c>
      <c r="C224" s="2" t="s">
        <v>359</v>
      </c>
      <c r="D224" t="s">
        <v>15</v>
      </c>
      <c r="F224" t="s">
        <v>1599</v>
      </c>
      <c r="G224" t="s">
        <v>1606</v>
      </c>
      <c r="H224" s="5">
        <f>96+7</f>
        <v>103</v>
      </c>
      <c r="J224">
        <v>75</v>
      </c>
      <c r="P224" s="6">
        <v>58</v>
      </c>
    </row>
    <row r="225" spans="1:16" x14ac:dyDescent="0.3">
      <c r="A225" s="6">
        <v>218</v>
      </c>
      <c r="B225" t="s">
        <v>39</v>
      </c>
      <c r="C225" s="2" t="s">
        <v>360</v>
      </c>
      <c r="D225" t="s">
        <v>15</v>
      </c>
      <c r="F225" t="s">
        <v>1599</v>
      </c>
      <c r="G225" t="s">
        <v>1606</v>
      </c>
      <c r="H225" s="5">
        <v>187</v>
      </c>
      <c r="J225">
        <v>80</v>
      </c>
      <c r="P225" s="6">
        <v>60</v>
      </c>
    </row>
    <row r="226" spans="1:16" x14ac:dyDescent="0.3">
      <c r="A226" s="6">
        <v>219</v>
      </c>
      <c r="B226" t="s">
        <v>362</v>
      </c>
      <c r="C226" s="2" t="s">
        <v>361</v>
      </c>
      <c r="D226" t="s">
        <v>15</v>
      </c>
      <c r="F226" t="s">
        <v>1599</v>
      </c>
      <c r="G226" t="s">
        <v>1606</v>
      </c>
      <c r="H226" s="5">
        <v>93</v>
      </c>
      <c r="J226">
        <v>45</v>
      </c>
      <c r="P226" s="6">
        <v>35</v>
      </c>
    </row>
    <row r="227" spans="1:16" x14ac:dyDescent="0.3">
      <c r="A227" s="6">
        <v>220</v>
      </c>
      <c r="B227" t="s">
        <v>363</v>
      </c>
      <c r="C227" s="2" t="s">
        <v>364</v>
      </c>
      <c r="D227" t="s">
        <v>15</v>
      </c>
      <c r="F227" t="s">
        <v>1599</v>
      </c>
      <c r="G227" t="s">
        <v>1606</v>
      </c>
      <c r="H227" s="5">
        <f>108-2</f>
        <v>106</v>
      </c>
      <c r="J227">
        <v>120</v>
      </c>
      <c r="P227" s="6">
        <v>78</v>
      </c>
    </row>
    <row r="228" spans="1:16" x14ac:dyDescent="0.3">
      <c r="A228" s="6">
        <v>221</v>
      </c>
      <c r="B228" t="s">
        <v>365</v>
      </c>
      <c r="C228" s="2" t="s">
        <v>366</v>
      </c>
      <c r="D228" t="s">
        <v>15</v>
      </c>
      <c r="F228" t="s">
        <v>1599</v>
      </c>
      <c r="G228" t="s">
        <v>1606</v>
      </c>
      <c r="H228" s="5">
        <v>34</v>
      </c>
      <c r="J228">
        <v>50</v>
      </c>
      <c r="P228" s="6">
        <v>38</v>
      </c>
    </row>
    <row r="229" spans="1:16" x14ac:dyDescent="0.3">
      <c r="A229" s="6">
        <v>222</v>
      </c>
      <c r="B229" t="s">
        <v>367</v>
      </c>
      <c r="C229" s="2" t="s">
        <v>368</v>
      </c>
      <c r="D229" t="s">
        <v>15</v>
      </c>
      <c r="F229" t="s">
        <v>1599</v>
      </c>
      <c r="G229" t="s">
        <v>1606</v>
      </c>
      <c r="H229" s="5">
        <v>132</v>
      </c>
      <c r="J229">
        <v>25</v>
      </c>
      <c r="P229" s="6">
        <v>19</v>
      </c>
    </row>
    <row r="230" spans="1:16" x14ac:dyDescent="0.3">
      <c r="A230" s="6">
        <v>223</v>
      </c>
      <c r="B230" t="s">
        <v>369</v>
      </c>
      <c r="C230" s="2" t="s">
        <v>370</v>
      </c>
      <c r="D230" t="s">
        <v>15</v>
      </c>
      <c r="F230" t="s">
        <v>1599</v>
      </c>
      <c r="G230" t="s">
        <v>1606</v>
      </c>
      <c r="H230" s="5">
        <v>54</v>
      </c>
      <c r="J230">
        <v>60</v>
      </c>
      <c r="P230" s="6">
        <v>40</v>
      </c>
    </row>
    <row r="231" spans="1:16" x14ac:dyDescent="0.3">
      <c r="A231" s="6">
        <v>224</v>
      </c>
      <c r="B231" t="s">
        <v>371</v>
      </c>
      <c r="C231" s="7" t="s">
        <v>372</v>
      </c>
      <c r="D231" t="s">
        <v>15</v>
      </c>
      <c r="F231" t="s">
        <v>1599</v>
      </c>
      <c r="G231" t="s">
        <v>1606</v>
      </c>
      <c r="H231" s="5">
        <v>35</v>
      </c>
      <c r="J231">
        <v>60</v>
      </c>
      <c r="P231" s="6">
        <v>46</v>
      </c>
    </row>
    <row r="232" spans="1:16" x14ac:dyDescent="0.3">
      <c r="A232" s="6">
        <v>225</v>
      </c>
      <c r="B232" t="s">
        <v>373</v>
      </c>
      <c r="C232" s="2" t="s">
        <v>374</v>
      </c>
      <c r="D232" t="s">
        <v>15</v>
      </c>
      <c r="F232" t="s">
        <v>1599</v>
      </c>
      <c r="G232" t="s">
        <v>1606</v>
      </c>
      <c r="H232" s="5">
        <v>156</v>
      </c>
      <c r="J232">
        <v>80</v>
      </c>
      <c r="P232" s="6">
        <v>62</v>
      </c>
    </row>
    <row r="233" spans="1:16" x14ac:dyDescent="0.3">
      <c r="A233" s="6">
        <v>226</v>
      </c>
      <c r="B233" t="s">
        <v>375</v>
      </c>
      <c r="C233" s="2">
        <v>812</v>
      </c>
      <c r="D233" t="s">
        <v>15</v>
      </c>
      <c r="F233" t="s">
        <v>1599</v>
      </c>
      <c r="G233" t="s">
        <v>1606</v>
      </c>
      <c r="H233" s="5">
        <v>143</v>
      </c>
      <c r="J233">
        <v>50</v>
      </c>
      <c r="P233" s="6">
        <v>38</v>
      </c>
    </row>
    <row r="234" spans="1:16" x14ac:dyDescent="0.3">
      <c r="A234" s="6">
        <v>227</v>
      </c>
      <c r="B234" t="s">
        <v>376</v>
      </c>
      <c r="C234" s="2" t="s">
        <v>377</v>
      </c>
      <c r="D234" t="s">
        <v>15</v>
      </c>
      <c r="F234" t="s">
        <v>1599</v>
      </c>
      <c r="G234" t="s">
        <v>1606</v>
      </c>
      <c r="H234" s="5">
        <v>115</v>
      </c>
      <c r="J234">
        <v>75</v>
      </c>
      <c r="P234" s="6">
        <v>58</v>
      </c>
    </row>
    <row r="235" spans="1:16" x14ac:dyDescent="0.3">
      <c r="A235" s="6">
        <v>228</v>
      </c>
      <c r="B235" t="s">
        <v>378</v>
      </c>
      <c r="C235" s="2" t="s">
        <v>379</v>
      </c>
      <c r="D235" t="s">
        <v>15</v>
      </c>
      <c r="F235" t="s">
        <v>1599</v>
      </c>
      <c r="G235" t="s">
        <v>1606</v>
      </c>
      <c r="H235" s="5">
        <v>16</v>
      </c>
      <c r="J235">
        <v>35</v>
      </c>
      <c r="P235" s="6">
        <v>26</v>
      </c>
    </row>
    <row r="236" spans="1:16" x14ac:dyDescent="0.3">
      <c r="A236" s="6">
        <v>229</v>
      </c>
      <c r="B236" t="s">
        <v>380</v>
      </c>
      <c r="C236" s="2" t="s">
        <v>381</v>
      </c>
      <c r="D236" t="s">
        <v>15</v>
      </c>
      <c r="F236" t="s">
        <v>1599</v>
      </c>
      <c r="G236" t="s">
        <v>1606</v>
      </c>
      <c r="H236" s="5">
        <v>112</v>
      </c>
      <c r="J236">
        <v>65</v>
      </c>
      <c r="P236" s="6">
        <v>41</v>
      </c>
    </row>
    <row r="237" spans="1:16" x14ac:dyDescent="0.3">
      <c r="A237" s="6">
        <v>230</v>
      </c>
      <c r="B237" t="s">
        <v>382</v>
      </c>
      <c r="C237" s="2" t="s">
        <v>383</v>
      </c>
      <c r="D237" t="s">
        <v>15</v>
      </c>
      <c r="F237" t="s">
        <v>1599</v>
      </c>
      <c r="G237" t="s">
        <v>1606</v>
      </c>
      <c r="H237" s="5">
        <v>94</v>
      </c>
      <c r="J237">
        <v>80</v>
      </c>
      <c r="P237" s="6">
        <v>58</v>
      </c>
    </row>
    <row r="238" spans="1:16" x14ac:dyDescent="0.3">
      <c r="A238" s="6">
        <v>231</v>
      </c>
      <c r="B238" t="s">
        <v>122</v>
      </c>
      <c r="C238" s="2" t="s">
        <v>384</v>
      </c>
      <c r="D238" t="s">
        <v>15</v>
      </c>
      <c r="F238" t="s">
        <v>1599</v>
      </c>
      <c r="G238" t="s">
        <v>1606</v>
      </c>
      <c r="H238" s="5">
        <v>227</v>
      </c>
      <c r="J238">
        <v>70</v>
      </c>
      <c r="P238" s="6">
        <v>45</v>
      </c>
    </row>
    <row r="239" spans="1:16" x14ac:dyDescent="0.3">
      <c r="A239" s="6">
        <v>232</v>
      </c>
      <c r="B239" t="s">
        <v>153</v>
      </c>
      <c r="C239" s="2" t="s">
        <v>385</v>
      </c>
      <c r="D239" t="s">
        <v>15</v>
      </c>
      <c r="F239" t="s">
        <v>1599</v>
      </c>
      <c r="G239" t="s">
        <v>1606</v>
      </c>
      <c r="H239" s="5">
        <v>116</v>
      </c>
      <c r="J239">
        <v>20</v>
      </c>
      <c r="P239" s="6">
        <v>18</v>
      </c>
    </row>
    <row r="240" spans="1:16" x14ac:dyDescent="0.3">
      <c r="A240" s="6">
        <v>233</v>
      </c>
      <c r="B240" t="s">
        <v>386</v>
      </c>
      <c r="C240" s="7" t="s">
        <v>387</v>
      </c>
      <c r="D240" t="s">
        <v>15</v>
      </c>
      <c r="F240" t="s">
        <v>1599</v>
      </c>
      <c r="G240" t="s">
        <v>1606</v>
      </c>
      <c r="H240" s="5">
        <v>247</v>
      </c>
      <c r="J240">
        <v>30</v>
      </c>
      <c r="P240" s="6">
        <v>23</v>
      </c>
    </row>
    <row r="241" spans="1:16" x14ac:dyDescent="0.3">
      <c r="A241" s="6">
        <v>234</v>
      </c>
      <c r="B241" t="s">
        <v>388</v>
      </c>
      <c r="C241" s="2" t="s">
        <v>389</v>
      </c>
      <c r="D241" t="s">
        <v>15</v>
      </c>
      <c r="F241" t="s">
        <v>1599</v>
      </c>
      <c r="G241" t="s">
        <v>1606</v>
      </c>
      <c r="H241" s="5">
        <v>300</v>
      </c>
      <c r="J241">
        <v>55</v>
      </c>
      <c r="P241" s="6">
        <v>40</v>
      </c>
    </row>
    <row r="242" spans="1:16" x14ac:dyDescent="0.3">
      <c r="A242" s="6">
        <v>235</v>
      </c>
      <c r="B242" t="s">
        <v>390</v>
      </c>
      <c r="C242" s="2" t="s">
        <v>391</v>
      </c>
      <c r="D242" t="s">
        <v>15</v>
      </c>
      <c r="F242" t="s">
        <v>1599</v>
      </c>
      <c r="G242" t="s">
        <v>1606</v>
      </c>
      <c r="H242" s="5">
        <v>145</v>
      </c>
      <c r="J242">
        <v>55</v>
      </c>
      <c r="P242" s="6">
        <v>43</v>
      </c>
    </row>
    <row r="243" spans="1:16" x14ac:dyDescent="0.3">
      <c r="A243" s="6">
        <v>236</v>
      </c>
      <c r="B243" t="s">
        <v>392</v>
      </c>
      <c r="C243" s="2" t="s">
        <v>393</v>
      </c>
      <c r="D243" t="s">
        <v>15</v>
      </c>
      <c r="F243" t="s">
        <v>1599</v>
      </c>
      <c r="G243" t="s">
        <v>1606</v>
      </c>
      <c r="H243" s="5">
        <v>116</v>
      </c>
      <c r="J243">
        <v>65</v>
      </c>
      <c r="P243" s="6">
        <v>49</v>
      </c>
    </row>
    <row r="244" spans="1:16" x14ac:dyDescent="0.3">
      <c r="A244" s="6">
        <v>237</v>
      </c>
      <c r="B244" t="s">
        <v>394</v>
      </c>
      <c r="C244" s="2">
        <v>899</v>
      </c>
      <c r="D244" t="s">
        <v>15</v>
      </c>
      <c r="F244" t="s">
        <v>1599</v>
      </c>
      <c r="G244" t="s">
        <v>1606</v>
      </c>
      <c r="H244" s="5">
        <v>107</v>
      </c>
      <c r="J244">
        <v>40</v>
      </c>
      <c r="P244" s="6">
        <v>22</v>
      </c>
    </row>
    <row r="245" spans="1:16" x14ac:dyDescent="0.3">
      <c r="A245" s="6">
        <v>238</v>
      </c>
      <c r="B245" t="s">
        <v>395</v>
      </c>
      <c r="C245" s="2" t="s">
        <v>396</v>
      </c>
      <c r="D245" t="s">
        <v>15</v>
      </c>
      <c r="F245" t="s">
        <v>1599</v>
      </c>
      <c r="G245" t="s">
        <v>1606</v>
      </c>
      <c r="H245" s="5">
        <v>202</v>
      </c>
      <c r="J245">
        <v>28</v>
      </c>
      <c r="P245" s="6">
        <v>20</v>
      </c>
    </row>
    <row r="246" spans="1:16" x14ac:dyDescent="0.3">
      <c r="A246" s="6">
        <v>239</v>
      </c>
      <c r="B246" t="s">
        <v>397</v>
      </c>
      <c r="C246" s="7" t="s">
        <v>398</v>
      </c>
      <c r="D246" t="s">
        <v>15</v>
      </c>
      <c r="F246" t="s">
        <v>1599</v>
      </c>
      <c r="G246" t="s">
        <v>1606</v>
      </c>
      <c r="H246" s="5">
        <v>74</v>
      </c>
      <c r="J246">
        <v>60</v>
      </c>
      <c r="P246" s="6">
        <v>40</v>
      </c>
    </row>
    <row r="247" spans="1:16" x14ac:dyDescent="0.3">
      <c r="A247" s="6">
        <v>240</v>
      </c>
      <c r="B247" t="s">
        <v>333</v>
      </c>
      <c r="C247" s="2" t="s">
        <v>399</v>
      </c>
      <c r="D247" t="s">
        <v>15</v>
      </c>
      <c r="F247" t="s">
        <v>1599</v>
      </c>
      <c r="G247" t="s">
        <v>1606</v>
      </c>
      <c r="H247" s="5">
        <v>28</v>
      </c>
      <c r="J247">
        <v>85</v>
      </c>
      <c r="P247" s="6">
        <v>66</v>
      </c>
    </row>
    <row r="248" spans="1:16" x14ac:dyDescent="0.3">
      <c r="A248" s="6">
        <v>241</v>
      </c>
      <c r="B248" t="s">
        <v>400</v>
      </c>
      <c r="C248" s="2" t="s">
        <v>401</v>
      </c>
      <c r="D248" t="s">
        <v>15</v>
      </c>
      <c r="F248" t="s">
        <v>1599</v>
      </c>
      <c r="G248" t="s">
        <v>1606</v>
      </c>
      <c r="H248" s="5">
        <v>368</v>
      </c>
      <c r="J248">
        <v>30</v>
      </c>
      <c r="P248" s="6">
        <v>21</v>
      </c>
    </row>
    <row r="249" spans="1:16" x14ac:dyDescent="0.3">
      <c r="A249" s="6">
        <v>242</v>
      </c>
      <c r="B249" t="s">
        <v>402</v>
      </c>
      <c r="C249" s="2" t="s">
        <v>403</v>
      </c>
      <c r="D249" t="s">
        <v>15</v>
      </c>
      <c r="F249" t="s">
        <v>1599</v>
      </c>
      <c r="G249" t="s">
        <v>1606</v>
      </c>
      <c r="H249" s="5">
        <v>58</v>
      </c>
      <c r="J249">
        <v>30</v>
      </c>
      <c r="P249" s="6">
        <v>21</v>
      </c>
    </row>
    <row r="250" spans="1:16" x14ac:dyDescent="0.3">
      <c r="A250" s="6">
        <v>243</v>
      </c>
      <c r="B250" t="s">
        <v>404</v>
      </c>
      <c r="C250" s="2" t="s">
        <v>405</v>
      </c>
      <c r="D250" t="s">
        <v>15</v>
      </c>
      <c r="F250" t="s">
        <v>1599</v>
      </c>
      <c r="G250" t="s">
        <v>1606</v>
      </c>
      <c r="H250" s="5">
        <v>190</v>
      </c>
      <c r="J250">
        <v>30</v>
      </c>
      <c r="P250" s="6">
        <v>22</v>
      </c>
    </row>
    <row r="251" spans="1:16" x14ac:dyDescent="0.3">
      <c r="A251" s="6">
        <v>244</v>
      </c>
      <c r="B251" t="s">
        <v>406</v>
      </c>
      <c r="D251" t="s">
        <v>15</v>
      </c>
      <c r="F251" t="s">
        <v>1599</v>
      </c>
      <c r="G251" t="s">
        <v>1606</v>
      </c>
      <c r="H251" s="5">
        <v>95</v>
      </c>
      <c r="J251">
        <v>85</v>
      </c>
      <c r="P251" s="6">
        <v>68</v>
      </c>
    </row>
    <row r="252" spans="1:16" x14ac:dyDescent="0.3">
      <c r="A252" s="6">
        <v>245</v>
      </c>
      <c r="B252" t="s">
        <v>407</v>
      </c>
      <c r="C252" s="2" t="s">
        <v>408</v>
      </c>
      <c r="D252" t="s">
        <v>15</v>
      </c>
      <c r="F252" t="s">
        <v>1599</v>
      </c>
      <c r="G252" t="s">
        <v>1606</v>
      </c>
      <c r="H252" s="5">
        <v>46</v>
      </c>
      <c r="J252">
        <v>35</v>
      </c>
      <c r="P252" s="6">
        <v>26</v>
      </c>
    </row>
    <row r="253" spans="1:16" x14ac:dyDescent="0.3">
      <c r="A253" s="6">
        <v>246</v>
      </c>
      <c r="B253" t="s">
        <v>409</v>
      </c>
      <c r="C253" s="2" t="s">
        <v>410</v>
      </c>
      <c r="D253" t="s">
        <v>15</v>
      </c>
      <c r="F253" t="s">
        <v>1599</v>
      </c>
      <c r="G253" t="s">
        <v>1606</v>
      </c>
      <c r="H253" s="5">
        <v>143</v>
      </c>
      <c r="J253">
        <v>30</v>
      </c>
      <c r="P253" s="6">
        <v>21</v>
      </c>
    </row>
    <row r="254" spans="1:16" x14ac:dyDescent="0.3">
      <c r="A254" s="6">
        <v>247</v>
      </c>
      <c r="B254" t="s">
        <v>411</v>
      </c>
      <c r="C254" s="2">
        <v>1111</v>
      </c>
      <c r="D254" t="s">
        <v>15</v>
      </c>
      <c r="F254" t="s">
        <v>1599</v>
      </c>
      <c r="G254" t="s">
        <v>1606</v>
      </c>
      <c r="H254" s="5">
        <v>57</v>
      </c>
      <c r="J254">
        <v>75</v>
      </c>
      <c r="P254" s="6">
        <v>62</v>
      </c>
    </row>
    <row r="255" spans="1:16" x14ac:dyDescent="0.3">
      <c r="A255" s="6">
        <v>248</v>
      </c>
      <c r="B255" t="s">
        <v>412</v>
      </c>
      <c r="C255" s="2" t="s">
        <v>413</v>
      </c>
      <c r="D255" t="s">
        <v>15</v>
      </c>
      <c r="F255" t="s">
        <v>1599</v>
      </c>
      <c r="G255" t="s">
        <v>1606</v>
      </c>
      <c r="H255" s="5">
        <v>62</v>
      </c>
      <c r="J255">
        <v>30</v>
      </c>
      <c r="P255" s="6">
        <v>23</v>
      </c>
    </row>
    <row r="256" spans="1:16" x14ac:dyDescent="0.3">
      <c r="A256" s="6">
        <v>249</v>
      </c>
      <c r="B256" t="s">
        <v>356</v>
      </c>
      <c r="C256" s="2" t="s">
        <v>414</v>
      </c>
      <c r="D256" t="s">
        <v>15</v>
      </c>
      <c r="F256" t="s">
        <v>1599</v>
      </c>
      <c r="G256" t="s">
        <v>1606</v>
      </c>
      <c r="H256" s="5">
        <f>120+2</f>
        <v>122</v>
      </c>
      <c r="J256">
        <v>55</v>
      </c>
      <c r="P256" s="6">
        <v>45</v>
      </c>
    </row>
    <row r="257" spans="1:16" x14ac:dyDescent="0.3">
      <c r="A257" s="6">
        <v>250</v>
      </c>
      <c r="B257" t="s">
        <v>168</v>
      </c>
      <c r="C257" s="2" t="s">
        <v>415</v>
      </c>
      <c r="D257" t="s">
        <v>15</v>
      </c>
      <c r="F257" t="s">
        <v>1599</v>
      </c>
      <c r="G257" t="s">
        <v>1606</v>
      </c>
      <c r="H257" s="5">
        <f>120+9</f>
        <v>129</v>
      </c>
      <c r="J257">
        <v>55</v>
      </c>
      <c r="P257" s="6">
        <v>45</v>
      </c>
    </row>
    <row r="258" spans="1:16" x14ac:dyDescent="0.3">
      <c r="A258" s="6">
        <v>251</v>
      </c>
      <c r="B258" t="s">
        <v>416</v>
      </c>
      <c r="C258" s="2" t="s">
        <v>417</v>
      </c>
      <c r="D258" t="s">
        <v>15</v>
      </c>
      <c r="F258" t="s">
        <v>1599</v>
      </c>
      <c r="G258" t="s">
        <v>1606</v>
      </c>
      <c r="H258" s="5">
        <v>20</v>
      </c>
      <c r="J258">
        <v>90</v>
      </c>
      <c r="P258" s="6">
        <v>60</v>
      </c>
    </row>
    <row r="259" spans="1:16" x14ac:dyDescent="0.3">
      <c r="A259" s="6">
        <v>252</v>
      </c>
      <c r="B259" t="s">
        <v>418</v>
      </c>
      <c r="C259" s="2">
        <v>1209</v>
      </c>
      <c r="D259" t="s">
        <v>15</v>
      </c>
      <c r="F259" t="s">
        <v>1599</v>
      </c>
      <c r="G259" t="s">
        <v>1606</v>
      </c>
      <c r="H259" s="5">
        <v>160</v>
      </c>
      <c r="J259">
        <v>65</v>
      </c>
      <c r="P259" s="6">
        <v>50</v>
      </c>
    </row>
    <row r="260" spans="1:16" x14ac:dyDescent="0.3">
      <c r="A260" s="6">
        <v>253</v>
      </c>
      <c r="B260" t="s">
        <v>419</v>
      </c>
      <c r="C260" s="2" t="s">
        <v>420</v>
      </c>
      <c r="D260" t="s">
        <v>15</v>
      </c>
      <c r="F260" t="s">
        <v>1599</v>
      </c>
      <c r="G260" t="s">
        <v>1606</v>
      </c>
      <c r="H260" s="5">
        <v>27</v>
      </c>
      <c r="J260">
        <v>170</v>
      </c>
      <c r="P260" s="6">
        <v>135</v>
      </c>
    </row>
    <row r="261" spans="1:16" x14ac:dyDescent="0.3">
      <c r="A261" s="6">
        <v>254</v>
      </c>
      <c r="B261" t="s">
        <v>421</v>
      </c>
      <c r="C261" s="2" t="s">
        <v>422</v>
      </c>
      <c r="D261" t="s">
        <v>15</v>
      </c>
      <c r="F261" t="s">
        <v>1599</v>
      </c>
      <c r="G261" t="s">
        <v>1606</v>
      </c>
      <c r="H261" s="5">
        <v>192</v>
      </c>
      <c r="J261">
        <v>45</v>
      </c>
      <c r="P261" s="6">
        <v>30</v>
      </c>
    </row>
    <row r="262" spans="1:16" x14ac:dyDescent="0.3">
      <c r="A262" s="6">
        <v>255</v>
      </c>
      <c r="B262" t="s">
        <v>424</v>
      </c>
      <c r="C262" s="2" t="s">
        <v>423</v>
      </c>
      <c r="D262" t="s">
        <v>15</v>
      </c>
      <c r="F262" t="s">
        <v>1599</v>
      </c>
      <c r="G262" t="s">
        <v>1606</v>
      </c>
      <c r="H262" s="5">
        <v>47</v>
      </c>
      <c r="J262">
        <v>175</v>
      </c>
      <c r="P262" s="6">
        <v>138</v>
      </c>
    </row>
    <row r="263" spans="1:16" x14ac:dyDescent="0.3">
      <c r="A263" s="6">
        <v>256</v>
      </c>
      <c r="B263" t="s">
        <v>425</v>
      </c>
      <c r="C263" s="2" t="s">
        <v>426</v>
      </c>
      <c r="D263" t="s">
        <v>15</v>
      </c>
      <c r="F263" t="s">
        <v>1599</v>
      </c>
      <c r="G263" t="s">
        <v>1606</v>
      </c>
      <c r="H263" s="5">
        <v>67</v>
      </c>
      <c r="J263">
        <v>75</v>
      </c>
      <c r="P263" s="6">
        <v>60</v>
      </c>
    </row>
    <row r="264" spans="1:16" x14ac:dyDescent="0.3">
      <c r="A264" s="6">
        <v>257</v>
      </c>
      <c r="B264" t="s">
        <v>427</v>
      </c>
      <c r="C264" s="2">
        <v>8641</v>
      </c>
      <c r="D264" t="s">
        <v>15</v>
      </c>
      <c r="F264" t="s">
        <v>1599</v>
      </c>
      <c r="G264" t="s">
        <v>1606</v>
      </c>
      <c r="H264" s="5">
        <v>47</v>
      </c>
      <c r="J264">
        <v>40</v>
      </c>
      <c r="P264" s="6">
        <v>31</v>
      </c>
    </row>
    <row r="265" spans="1:16" x14ac:dyDescent="0.3">
      <c r="A265" s="6">
        <v>258</v>
      </c>
      <c r="B265" t="s">
        <v>428</v>
      </c>
      <c r="C265" s="2" t="s">
        <v>429</v>
      </c>
      <c r="D265" t="s">
        <v>15</v>
      </c>
      <c r="F265" t="s">
        <v>1599</v>
      </c>
      <c r="G265" t="s">
        <v>1606</v>
      </c>
      <c r="H265" s="5">
        <v>176</v>
      </c>
      <c r="J265">
        <v>45</v>
      </c>
      <c r="P265" s="6">
        <v>35</v>
      </c>
    </row>
    <row r="266" spans="1:16" x14ac:dyDescent="0.3">
      <c r="A266" s="6">
        <v>259</v>
      </c>
      <c r="B266" t="s">
        <v>171</v>
      </c>
      <c r="C266" s="2" t="s">
        <v>430</v>
      </c>
      <c r="D266" t="s">
        <v>15</v>
      </c>
      <c r="F266" t="s">
        <v>1599</v>
      </c>
      <c r="G266" t="s">
        <v>1606</v>
      </c>
      <c r="H266" s="5">
        <v>29</v>
      </c>
      <c r="J266">
        <v>90</v>
      </c>
      <c r="P266" s="6">
        <v>69</v>
      </c>
    </row>
    <row r="267" spans="1:16" x14ac:dyDescent="0.3">
      <c r="A267" s="6">
        <v>260</v>
      </c>
      <c r="B267" t="s">
        <v>51</v>
      </c>
      <c r="C267" s="2" t="s">
        <v>431</v>
      </c>
      <c r="D267" t="s">
        <v>15</v>
      </c>
      <c r="F267" t="s">
        <v>1599</v>
      </c>
      <c r="G267" t="s">
        <v>1606</v>
      </c>
      <c r="H267" s="5">
        <v>106</v>
      </c>
      <c r="J267">
        <v>45</v>
      </c>
      <c r="P267" s="6">
        <v>35</v>
      </c>
    </row>
    <row r="268" spans="1:16" x14ac:dyDescent="0.3">
      <c r="A268" s="6">
        <v>261</v>
      </c>
      <c r="B268" t="s">
        <v>432</v>
      </c>
      <c r="C268" s="2">
        <v>138</v>
      </c>
      <c r="D268" t="s">
        <v>15</v>
      </c>
      <c r="F268" t="s">
        <v>1599</v>
      </c>
      <c r="G268" t="s">
        <v>1606</v>
      </c>
      <c r="H268" s="5">
        <v>27</v>
      </c>
      <c r="J268">
        <v>90</v>
      </c>
      <c r="P268" s="6">
        <v>68</v>
      </c>
    </row>
    <row r="269" spans="1:16" x14ac:dyDescent="0.3">
      <c r="A269" s="6">
        <v>262</v>
      </c>
      <c r="B269" t="s">
        <v>433</v>
      </c>
      <c r="C269" s="2" t="s">
        <v>434</v>
      </c>
      <c r="D269" t="s">
        <v>15</v>
      </c>
      <c r="F269" t="s">
        <v>1599</v>
      </c>
      <c r="G269" t="s">
        <v>1606</v>
      </c>
      <c r="H269" s="5">
        <v>675</v>
      </c>
      <c r="J269">
        <v>30</v>
      </c>
      <c r="P269" s="6">
        <v>17.5</v>
      </c>
    </row>
    <row r="270" spans="1:16" x14ac:dyDescent="0.3">
      <c r="A270" s="6">
        <v>263</v>
      </c>
      <c r="B270" t="s">
        <v>290</v>
      </c>
      <c r="C270" s="2" t="s">
        <v>435</v>
      </c>
      <c r="D270" t="s">
        <v>15</v>
      </c>
      <c r="F270" t="s">
        <v>1599</v>
      </c>
      <c r="G270" t="s">
        <v>1606</v>
      </c>
      <c r="H270" s="5">
        <v>79</v>
      </c>
      <c r="J270">
        <v>50</v>
      </c>
      <c r="P270" s="6">
        <v>38</v>
      </c>
    </row>
    <row r="271" spans="1:16" x14ac:dyDescent="0.3">
      <c r="A271" s="6">
        <v>264</v>
      </c>
      <c r="B271" t="s">
        <v>436</v>
      </c>
      <c r="C271" s="2" t="s">
        <v>437</v>
      </c>
      <c r="D271" t="s">
        <v>15</v>
      </c>
      <c r="F271" t="s">
        <v>1599</v>
      </c>
      <c r="G271" t="s">
        <v>1606</v>
      </c>
      <c r="H271" s="5">
        <v>26</v>
      </c>
      <c r="J271">
        <v>60</v>
      </c>
      <c r="P271" s="6">
        <v>40</v>
      </c>
    </row>
    <row r="272" spans="1:16" x14ac:dyDescent="0.3">
      <c r="A272" s="6">
        <v>265</v>
      </c>
      <c r="B272" t="s">
        <v>438</v>
      </c>
      <c r="C272" s="2" t="s">
        <v>439</v>
      </c>
      <c r="D272" t="s">
        <v>15</v>
      </c>
      <c r="F272" t="s">
        <v>1599</v>
      </c>
      <c r="G272" t="s">
        <v>1606</v>
      </c>
      <c r="H272" s="5">
        <v>40</v>
      </c>
      <c r="J272">
        <v>60</v>
      </c>
      <c r="P272" s="6">
        <v>40</v>
      </c>
    </row>
    <row r="273" spans="1:16" x14ac:dyDescent="0.3">
      <c r="A273" s="6">
        <v>266</v>
      </c>
      <c r="B273" t="s">
        <v>440</v>
      </c>
      <c r="C273" s="2" t="s">
        <v>441</v>
      </c>
      <c r="D273" t="s">
        <v>15</v>
      </c>
      <c r="F273" t="s">
        <v>1599</v>
      </c>
      <c r="G273" t="s">
        <v>1606</v>
      </c>
      <c r="H273" s="5">
        <v>72</v>
      </c>
      <c r="J273">
        <v>50</v>
      </c>
      <c r="P273" s="6">
        <v>40</v>
      </c>
    </row>
    <row r="274" spans="1:16" x14ac:dyDescent="0.3">
      <c r="A274" s="6">
        <v>267</v>
      </c>
      <c r="B274" t="s">
        <v>442</v>
      </c>
      <c r="C274" s="2" t="s">
        <v>443</v>
      </c>
      <c r="D274" t="s">
        <v>15</v>
      </c>
      <c r="F274" t="s">
        <v>1599</v>
      </c>
      <c r="G274" t="s">
        <v>1606</v>
      </c>
      <c r="H274" s="5">
        <v>82</v>
      </c>
      <c r="J274">
        <v>50</v>
      </c>
      <c r="P274" s="6">
        <v>38</v>
      </c>
    </row>
    <row r="275" spans="1:16" x14ac:dyDescent="0.3">
      <c r="A275" s="6">
        <v>268</v>
      </c>
      <c r="B275" t="s">
        <v>444</v>
      </c>
      <c r="C275" s="2" t="s">
        <v>445</v>
      </c>
      <c r="D275" t="s">
        <v>15</v>
      </c>
      <c r="F275" t="s">
        <v>1599</v>
      </c>
      <c r="G275" t="s">
        <v>1606</v>
      </c>
      <c r="H275" s="5">
        <v>77</v>
      </c>
      <c r="J275">
        <v>80</v>
      </c>
      <c r="P275" s="6">
        <v>62</v>
      </c>
    </row>
    <row r="276" spans="1:16" x14ac:dyDescent="0.3">
      <c r="A276" s="6">
        <v>269</v>
      </c>
      <c r="B276" t="s">
        <v>446</v>
      </c>
      <c r="C276" s="2" t="s">
        <v>447</v>
      </c>
      <c r="D276" t="s">
        <v>15</v>
      </c>
      <c r="F276" t="s">
        <v>1599</v>
      </c>
      <c r="G276" t="s">
        <v>1606</v>
      </c>
      <c r="H276" s="5">
        <v>140</v>
      </c>
      <c r="J276">
        <v>140</v>
      </c>
      <c r="P276" s="6">
        <v>102</v>
      </c>
    </row>
    <row r="277" spans="1:16" x14ac:dyDescent="0.3">
      <c r="A277" s="6">
        <v>270</v>
      </c>
      <c r="B277" t="s">
        <v>345</v>
      </c>
      <c r="C277" s="2">
        <v>9088</v>
      </c>
      <c r="D277" t="s">
        <v>15</v>
      </c>
      <c r="F277" t="s">
        <v>1599</v>
      </c>
      <c r="G277" t="s">
        <v>1606</v>
      </c>
      <c r="H277" s="5">
        <v>37</v>
      </c>
      <c r="J277">
        <v>60</v>
      </c>
      <c r="P277" s="6">
        <v>48</v>
      </c>
    </row>
    <row r="278" spans="1:16" x14ac:dyDescent="0.3">
      <c r="A278" s="6">
        <v>271</v>
      </c>
      <c r="B278" t="s">
        <v>448</v>
      </c>
      <c r="C278" s="2" t="s">
        <v>449</v>
      </c>
      <c r="D278" t="s">
        <v>15</v>
      </c>
      <c r="F278" t="s">
        <v>1599</v>
      </c>
      <c r="G278" t="s">
        <v>1606</v>
      </c>
      <c r="H278" s="5">
        <v>72</v>
      </c>
      <c r="J278">
        <v>90</v>
      </c>
      <c r="P278" s="6">
        <v>70</v>
      </c>
    </row>
    <row r="279" spans="1:16" x14ac:dyDescent="0.3">
      <c r="A279" s="6">
        <v>272</v>
      </c>
      <c r="B279" t="s">
        <v>450</v>
      </c>
      <c r="C279" s="2" t="s">
        <v>451</v>
      </c>
      <c r="D279" t="s">
        <v>15</v>
      </c>
      <c r="F279" t="s">
        <v>1599</v>
      </c>
      <c r="G279" t="s">
        <v>1606</v>
      </c>
      <c r="H279" s="5">
        <v>40</v>
      </c>
      <c r="J279">
        <v>100</v>
      </c>
      <c r="P279" s="6">
        <v>79</v>
      </c>
    </row>
    <row r="280" spans="1:16" x14ac:dyDescent="0.3">
      <c r="A280" s="6">
        <v>273</v>
      </c>
      <c r="B280" t="s">
        <v>452</v>
      </c>
      <c r="C280" s="2" t="s">
        <v>453</v>
      </c>
      <c r="D280" t="s">
        <v>15</v>
      </c>
      <c r="F280" t="s">
        <v>1599</v>
      </c>
      <c r="G280" t="s">
        <v>1606</v>
      </c>
      <c r="H280" s="5">
        <v>73</v>
      </c>
      <c r="J280">
        <v>75</v>
      </c>
      <c r="P280" s="6">
        <v>57</v>
      </c>
    </row>
    <row r="281" spans="1:16" x14ac:dyDescent="0.3">
      <c r="A281" s="6">
        <v>274</v>
      </c>
      <c r="B281" t="s">
        <v>454</v>
      </c>
      <c r="C281" s="2" t="s">
        <v>455</v>
      </c>
      <c r="D281" t="s">
        <v>15</v>
      </c>
      <c r="F281" t="s">
        <v>1599</v>
      </c>
      <c r="G281" t="s">
        <v>1606</v>
      </c>
      <c r="H281" s="5">
        <v>175</v>
      </c>
      <c r="J281">
        <v>90</v>
      </c>
      <c r="P281" s="6">
        <v>83</v>
      </c>
    </row>
    <row r="282" spans="1:16" x14ac:dyDescent="0.3">
      <c r="A282" s="6">
        <v>275</v>
      </c>
      <c r="B282" t="s">
        <v>402</v>
      </c>
      <c r="C282" s="2" t="s">
        <v>456</v>
      </c>
      <c r="D282" t="s">
        <v>15</v>
      </c>
      <c r="F282" t="s">
        <v>1599</v>
      </c>
      <c r="G282" t="s">
        <v>1606</v>
      </c>
      <c r="H282" s="5">
        <v>246</v>
      </c>
      <c r="J282">
        <v>35</v>
      </c>
      <c r="P282" s="6">
        <v>24</v>
      </c>
    </row>
    <row r="283" spans="1:16" x14ac:dyDescent="0.3">
      <c r="A283" s="6">
        <v>276</v>
      </c>
      <c r="B283" t="s">
        <v>457</v>
      </c>
      <c r="C283" s="7" t="s">
        <v>458</v>
      </c>
      <c r="D283" t="s">
        <v>15</v>
      </c>
      <c r="F283" t="s">
        <v>1599</v>
      </c>
      <c r="G283" t="s">
        <v>1606</v>
      </c>
      <c r="H283" s="5">
        <v>18</v>
      </c>
      <c r="J283">
        <v>90</v>
      </c>
      <c r="P283" s="6">
        <v>70</v>
      </c>
    </row>
    <row r="284" spans="1:16" x14ac:dyDescent="0.3">
      <c r="A284" s="6">
        <v>277</v>
      </c>
      <c r="B284" t="s">
        <v>459</v>
      </c>
      <c r="C284" s="2" t="s">
        <v>460</v>
      </c>
      <c r="D284" t="s">
        <v>15</v>
      </c>
      <c r="F284" t="s">
        <v>1599</v>
      </c>
      <c r="G284" t="s">
        <v>1606</v>
      </c>
      <c r="H284" s="5">
        <v>27</v>
      </c>
      <c r="J284">
        <v>65</v>
      </c>
      <c r="P284" s="6">
        <v>50</v>
      </c>
    </row>
    <row r="285" spans="1:16" x14ac:dyDescent="0.3">
      <c r="A285" s="6">
        <v>278</v>
      </c>
      <c r="B285" t="s">
        <v>461</v>
      </c>
      <c r="C285" s="2" t="s">
        <v>462</v>
      </c>
      <c r="D285" t="s">
        <v>15</v>
      </c>
      <c r="F285" t="s">
        <v>1599</v>
      </c>
      <c r="G285" t="s">
        <v>1606</v>
      </c>
      <c r="H285" s="5">
        <v>32</v>
      </c>
      <c r="J285">
        <v>75</v>
      </c>
      <c r="P285" s="6">
        <v>50</v>
      </c>
    </row>
    <row r="286" spans="1:16" x14ac:dyDescent="0.3">
      <c r="A286" s="6">
        <v>279</v>
      </c>
      <c r="B286" t="s">
        <v>463</v>
      </c>
      <c r="C286" s="2" t="s">
        <v>464</v>
      </c>
      <c r="D286" t="s">
        <v>15</v>
      </c>
      <c r="F286" t="s">
        <v>1599</v>
      </c>
      <c r="G286" t="s">
        <v>1606</v>
      </c>
      <c r="H286" s="5">
        <v>30</v>
      </c>
      <c r="J286">
        <v>90</v>
      </c>
      <c r="P286" s="6">
        <v>66</v>
      </c>
    </row>
    <row r="287" spans="1:16" x14ac:dyDescent="0.3">
      <c r="A287" s="6">
        <v>280</v>
      </c>
      <c r="B287" t="s">
        <v>465</v>
      </c>
      <c r="D287" t="s">
        <v>15</v>
      </c>
      <c r="F287" t="s">
        <v>1599</v>
      </c>
      <c r="G287" t="s">
        <v>1606</v>
      </c>
      <c r="H287" s="5">
        <v>210</v>
      </c>
      <c r="J287">
        <v>60</v>
      </c>
      <c r="P287" s="6">
        <v>46</v>
      </c>
    </row>
    <row r="288" spans="1:16" x14ac:dyDescent="0.3">
      <c r="A288" s="6">
        <v>281</v>
      </c>
      <c r="B288" t="s">
        <v>466</v>
      </c>
      <c r="C288" s="2" t="s">
        <v>467</v>
      </c>
      <c r="D288" t="s">
        <v>15</v>
      </c>
      <c r="F288" t="s">
        <v>1599</v>
      </c>
      <c r="G288" t="s">
        <v>1606</v>
      </c>
      <c r="H288" s="5">
        <v>182</v>
      </c>
      <c r="J288">
        <v>50</v>
      </c>
      <c r="P288" s="6">
        <v>39</v>
      </c>
    </row>
    <row r="289" spans="1:16" x14ac:dyDescent="0.3">
      <c r="A289" s="6">
        <v>282</v>
      </c>
      <c r="B289" t="s">
        <v>468</v>
      </c>
      <c r="C289" s="2">
        <v>5996</v>
      </c>
      <c r="D289" t="s">
        <v>15</v>
      </c>
      <c r="F289" t="s">
        <v>1599</v>
      </c>
      <c r="G289" t="s">
        <v>1606</v>
      </c>
      <c r="H289" s="5">
        <v>61</v>
      </c>
      <c r="J289">
        <v>40</v>
      </c>
      <c r="P289" s="6">
        <v>31</v>
      </c>
    </row>
    <row r="290" spans="1:16" x14ac:dyDescent="0.3">
      <c r="A290" s="6">
        <v>283</v>
      </c>
      <c r="B290" t="s">
        <v>469</v>
      </c>
      <c r="C290" s="2" t="s">
        <v>470</v>
      </c>
      <c r="D290" t="s">
        <v>15</v>
      </c>
      <c r="F290" t="s">
        <v>1599</v>
      </c>
      <c r="G290" t="s">
        <v>1606</v>
      </c>
      <c r="H290" s="5">
        <v>113</v>
      </c>
      <c r="J290">
        <v>85</v>
      </c>
      <c r="P290" s="6">
        <v>57</v>
      </c>
    </row>
    <row r="291" spans="1:16" x14ac:dyDescent="0.3">
      <c r="A291" s="6">
        <v>284</v>
      </c>
      <c r="B291" t="s">
        <v>471</v>
      </c>
      <c r="C291" s="2">
        <v>8823</v>
      </c>
      <c r="D291" t="s">
        <v>15</v>
      </c>
      <c r="F291" t="s">
        <v>1599</v>
      </c>
      <c r="G291" t="s">
        <v>1606</v>
      </c>
      <c r="H291" s="5">
        <v>45</v>
      </c>
      <c r="J291">
        <v>50</v>
      </c>
      <c r="P291" s="6">
        <v>30</v>
      </c>
    </row>
    <row r="292" spans="1:16" x14ac:dyDescent="0.3">
      <c r="A292" s="6">
        <v>285</v>
      </c>
      <c r="B292" t="s">
        <v>452</v>
      </c>
      <c r="C292" s="2" t="s">
        <v>472</v>
      </c>
      <c r="D292" t="s">
        <v>15</v>
      </c>
      <c r="F292" t="s">
        <v>1599</v>
      </c>
      <c r="G292" t="s">
        <v>1606</v>
      </c>
      <c r="H292" s="5">
        <v>114</v>
      </c>
      <c r="J292">
        <v>150</v>
      </c>
      <c r="P292" s="6">
        <v>89</v>
      </c>
    </row>
    <row r="293" spans="1:16" x14ac:dyDescent="0.3">
      <c r="A293" s="6">
        <v>286</v>
      </c>
      <c r="B293" t="s">
        <v>473</v>
      </c>
      <c r="C293" s="2" t="s">
        <v>474</v>
      </c>
      <c r="D293" t="s">
        <v>15</v>
      </c>
      <c r="F293" t="s">
        <v>1599</v>
      </c>
      <c r="G293" t="s">
        <v>1606</v>
      </c>
      <c r="H293" s="5">
        <v>64</v>
      </c>
      <c r="J293">
        <v>60</v>
      </c>
      <c r="P293" s="6">
        <v>42</v>
      </c>
    </row>
    <row r="294" spans="1:16" x14ac:dyDescent="0.3">
      <c r="A294" s="6">
        <v>287</v>
      </c>
      <c r="B294" t="s">
        <v>475</v>
      </c>
      <c r="C294" s="2">
        <v>811</v>
      </c>
      <c r="D294" t="s">
        <v>15</v>
      </c>
      <c r="F294" t="s">
        <v>1599</v>
      </c>
      <c r="G294" t="s">
        <v>1606</v>
      </c>
      <c r="H294" s="5">
        <v>85</v>
      </c>
      <c r="J294">
        <v>40</v>
      </c>
      <c r="P294" s="6">
        <v>30</v>
      </c>
    </row>
    <row r="295" spans="1:16" x14ac:dyDescent="0.3">
      <c r="A295" s="6">
        <v>288</v>
      </c>
      <c r="B295" t="s">
        <v>476</v>
      </c>
      <c r="C295" s="2" t="s">
        <v>477</v>
      </c>
      <c r="D295" t="s">
        <v>15</v>
      </c>
      <c r="F295" t="s">
        <v>1599</v>
      </c>
      <c r="G295" t="s">
        <v>1606</v>
      </c>
      <c r="H295" s="5">
        <v>20</v>
      </c>
      <c r="J295">
        <v>70</v>
      </c>
      <c r="P295" s="6">
        <v>54</v>
      </c>
    </row>
    <row r="296" spans="1:16" x14ac:dyDescent="0.3">
      <c r="A296" s="6">
        <v>289</v>
      </c>
      <c r="B296" t="s">
        <v>478</v>
      </c>
      <c r="C296" s="2" t="s">
        <v>479</v>
      </c>
      <c r="D296" t="s">
        <v>15</v>
      </c>
      <c r="F296" t="s">
        <v>1599</v>
      </c>
      <c r="G296" t="s">
        <v>1606</v>
      </c>
      <c r="H296" s="5">
        <v>142</v>
      </c>
      <c r="J296">
        <v>65</v>
      </c>
      <c r="P296" s="6">
        <v>49</v>
      </c>
    </row>
    <row r="297" spans="1:16" x14ac:dyDescent="0.3">
      <c r="A297" s="6">
        <v>290</v>
      </c>
      <c r="B297" t="s">
        <v>480</v>
      </c>
      <c r="C297" s="2">
        <v>66028</v>
      </c>
      <c r="D297" t="s">
        <v>15</v>
      </c>
      <c r="F297" t="s">
        <v>1599</v>
      </c>
      <c r="G297" t="s">
        <v>1606</v>
      </c>
      <c r="H297" s="5">
        <v>43</v>
      </c>
      <c r="J297">
        <v>75</v>
      </c>
      <c r="P297" s="6">
        <v>70</v>
      </c>
    </row>
    <row r="298" spans="1:16" x14ac:dyDescent="0.3">
      <c r="A298" s="6">
        <v>291</v>
      </c>
      <c r="B298" t="s">
        <v>481</v>
      </c>
      <c r="D298" t="s">
        <v>15</v>
      </c>
      <c r="F298" t="s">
        <v>1599</v>
      </c>
      <c r="G298" t="s">
        <v>1606</v>
      </c>
      <c r="H298" s="5">
        <v>122</v>
      </c>
      <c r="J298">
        <v>30</v>
      </c>
      <c r="P298" s="6">
        <v>22</v>
      </c>
    </row>
    <row r="299" spans="1:16" x14ac:dyDescent="0.3">
      <c r="A299" s="6">
        <v>292</v>
      </c>
      <c r="B299" t="s">
        <v>482</v>
      </c>
      <c r="C299" s="2">
        <v>8514</v>
      </c>
      <c r="D299" t="s">
        <v>15</v>
      </c>
      <c r="F299" t="s">
        <v>1599</v>
      </c>
      <c r="G299" t="s">
        <v>1606</v>
      </c>
      <c r="H299" s="5">
        <v>43</v>
      </c>
      <c r="J299">
        <v>110</v>
      </c>
      <c r="P299" s="6">
        <v>85</v>
      </c>
    </row>
    <row r="300" spans="1:16" x14ac:dyDescent="0.3">
      <c r="A300" s="6">
        <v>293</v>
      </c>
      <c r="B300" t="s">
        <v>327</v>
      </c>
      <c r="C300" s="2">
        <v>2122</v>
      </c>
      <c r="D300" t="s">
        <v>15</v>
      </c>
      <c r="F300" t="s">
        <v>1599</v>
      </c>
      <c r="G300" t="s">
        <v>1606</v>
      </c>
      <c r="H300" s="5">
        <v>28</v>
      </c>
      <c r="J300">
        <v>45</v>
      </c>
      <c r="P300" s="6">
        <v>35</v>
      </c>
    </row>
    <row r="301" spans="1:16" x14ac:dyDescent="0.3">
      <c r="A301" s="6">
        <v>294</v>
      </c>
      <c r="B301" t="s">
        <v>279</v>
      </c>
      <c r="C301" s="2" t="s">
        <v>483</v>
      </c>
      <c r="D301" t="s">
        <v>15</v>
      </c>
      <c r="F301" t="s">
        <v>1599</v>
      </c>
      <c r="G301" t="s">
        <v>1606</v>
      </c>
      <c r="H301" s="5">
        <v>10</v>
      </c>
      <c r="J301">
        <v>70</v>
      </c>
      <c r="P301" s="6">
        <v>52</v>
      </c>
    </row>
    <row r="302" spans="1:16" x14ac:dyDescent="0.3">
      <c r="A302" s="6">
        <v>295</v>
      </c>
      <c r="B302" t="s">
        <v>484</v>
      </c>
      <c r="D302" t="s">
        <v>15</v>
      </c>
      <c r="F302" t="s">
        <v>1599</v>
      </c>
      <c r="G302" t="s">
        <v>1606</v>
      </c>
      <c r="H302" s="5">
        <v>179</v>
      </c>
      <c r="J302">
        <v>145</v>
      </c>
      <c r="P302" s="6">
        <v>110</v>
      </c>
    </row>
    <row r="303" spans="1:16" x14ac:dyDescent="0.3">
      <c r="A303" s="6">
        <v>296</v>
      </c>
      <c r="B303" t="s">
        <v>74</v>
      </c>
      <c r="C303" s="2" t="s">
        <v>485</v>
      </c>
      <c r="D303" t="s">
        <v>15</v>
      </c>
      <c r="F303" t="s">
        <v>1599</v>
      </c>
      <c r="G303" t="s">
        <v>1606</v>
      </c>
      <c r="H303" s="5">
        <v>66</v>
      </c>
      <c r="J303">
        <v>60</v>
      </c>
      <c r="P303" s="6">
        <v>40</v>
      </c>
    </row>
    <row r="304" spans="1:16" x14ac:dyDescent="0.3">
      <c r="A304" s="6">
        <v>297</v>
      </c>
      <c r="B304" t="s">
        <v>486</v>
      </c>
      <c r="C304" s="2" t="s">
        <v>487</v>
      </c>
      <c r="D304" t="s">
        <v>15</v>
      </c>
      <c r="F304" t="s">
        <v>1599</v>
      </c>
      <c r="G304" t="s">
        <v>1606</v>
      </c>
      <c r="H304" s="5">
        <v>15</v>
      </c>
      <c r="J304">
        <v>120</v>
      </c>
      <c r="P304" s="6">
        <v>80</v>
      </c>
    </row>
    <row r="305" spans="1:16" x14ac:dyDescent="0.3">
      <c r="A305" s="6">
        <v>298</v>
      </c>
      <c r="B305" t="s">
        <v>488</v>
      </c>
      <c r="C305" s="2">
        <v>2065</v>
      </c>
      <c r="D305" t="s">
        <v>15</v>
      </c>
      <c r="F305" t="s">
        <v>1599</v>
      </c>
      <c r="G305" t="s">
        <v>1606</v>
      </c>
      <c r="H305" s="5">
        <v>43</v>
      </c>
      <c r="J305">
        <v>55</v>
      </c>
      <c r="P305" s="6">
        <v>43</v>
      </c>
    </row>
    <row r="306" spans="1:16" x14ac:dyDescent="0.3">
      <c r="A306" s="6">
        <v>299</v>
      </c>
      <c r="B306" t="s">
        <v>489</v>
      </c>
      <c r="D306" t="s">
        <v>15</v>
      </c>
      <c r="F306" t="s">
        <v>1599</v>
      </c>
      <c r="G306" t="s">
        <v>1606</v>
      </c>
      <c r="H306" s="5">
        <v>108</v>
      </c>
      <c r="J306">
        <v>220</v>
      </c>
      <c r="P306" s="6">
        <v>165</v>
      </c>
    </row>
    <row r="307" spans="1:16" x14ac:dyDescent="0.3">
      <c r="A307" s="6">
        <v>300</v>
      </c>
      <c r="B307" t="s">
        <v>164</v>
      </c>
      <c r="C307" s="2">
        <v>1008</v>
      </c>
      <c r="D307" t="s">
        <v>15</v>
      </c>
      <c r="F307" t="s">
        <v>1599</v>
      </c>
      <c r="G307" t="s">
        <v>1606</v>
      </c>
      <c r="H307" s="5">
        <v>16</v>
      </c>
      <c r="J307">
        <v>60</v>
      </c>
      <c r="P307" s="6">
        <v>48</v>
      </c>
    </row>
    <row r="308" spans="1:16" x14ac:dyDescent="0.3">
      <c r="A308" s="6">
        <v>301</v>
      </c>
      <c r="B308" t="s">
        <v>336</v>
      </c>
      <c r="C308" s="2" t="s">
        <v>490</v>
      </c>
      <c r="D308" t="s">
        <v>15</v>
      </c>
      <c r="F308" t="s">
        <v>1599</v>
      </c>
      <c r="G308" t="s">
        <v>1606</v>
      </c>
      <c r="H308" s="5">
        <v>191</v>
      </c>
      <c r="J308">
        <v>60</v>
      </c>
      <c r="P308" s="6">
        <v>41</v>
      </c>
    </row>
    <row r="309" spans="1:16" x14ac:dyDescent="0.3">
      <c r="A309" s="6">
        <v>302</v>
      </c>
      <c r="B309" t="s">
        <v>279</v>
      </c>
      <c r="C309" s="2" t="s">
        <v>491</v>
      </c>
      <c r="D309" t="s">
        <v>15</v>
      </c>
      <c r="F309" t="s">
        <v>1599</v>
      </c>
      <c r="G309" t="s">
        <v>1606</v>
      </c>
      <c r="H309" s="5">
        <v>18</v>
      </c>
      <c r="J309">
        <v>85</v>
      </c>
      <c r="P309" s="6">
        <v>69</v>
      </c>
    </row>
    <row r="310" spans="1:16" x14ac:dyDescent="0.3">
      <c r="A310" s="6">
        <v>303</v>
      </c>
      <c r="B310" t="s">
        <v>492</v>
      </c>
      <c r="C310" s="2">
        <v>528</v>
      </c>
      <c r="D310" t="s">
        <v>15</v>
      </c>
      <c r="F310" t="s">
        <v>1599</v>
      </c>
      <c r="G310" t="s">
        <v>1606</v>
      </c>
      <c r="H310" s="5">
        <v>99</v>
      </c>
      <c r="J310">
        <v>70</v>
      </c>
      <c r="P310" s="6">
        <v>50</v>
      </c>
    </row>
    <row r="311" spans="1:16" x14ac:dyDescent="0.3">
      <c r="A311" s="6">
        <v>304</v>
      </c>
      <c r="B311" t="s">
        <v>93</v>
      </c>
      <c r="C311" s="2" t="s">
        <v>493</v>
      </c>
      <c r="D311" t="s">
        <v>15</v>
      </c>
      <c r="F311" t="s">
        <v>1599</v>
      </c>
      <c r="G311" t="s">
        <v>1606</v>
      </c>
      <c r="H311" s="5">
        <v>28</v>
      </c>
      <c r="J311">
        <v>90</v>
      </c>
      <c r="P311" s="6">
        <v>74</v>
      </c>
    </row>
    <row r="312" spans="1:16" x14ac:dyDescent="0.3">
      <c r="A312" s="6">
        <v>305</v>
      </c>
      <c r="B312" t="s">
        <v>494</v>
      </c>
      <c r="C312" s="2">
        <v>28025</v>
      </c>
      <c r="D312" t="s">
        <v>15</v>
      </c>
      <c r="F312" t="s">
        <v>1599</v>
      </c>
      <c r="G312" t="s">
        <v>1606</v>
      </c>
      <c r="H312" s="5">
        <v>14</v>
      </c>
      <c r="J312">
        <v>65</v>
      </c>
      <c r="P312" s="6">
        <v>46</v>
      </c>
    </row>
    <row r="313" spans="1:16" x14ac:dyDescent="0.3">
      <c r="A313" s="6">
        <v>306</v>
      </c>
      <c r="B313" t="s">
        <v>495</v>
      </c>
      <c r="D313" t="s">
        <v>15</v>
      </c>
      <c r="F313" t="s">
        <v>1599</v>
      </c>
      <c r="G313" t="s">
        <v>1606</v>
      </c>
      <c r="H313" s="5">
        <v>61</v>
      </c>
      <c r="J313">
        <v>130</v>
      </c>
      <c r="P313" s="6">
        <v>102</v>
      </c>
    </row>
    <row r="314" spans="1:16" x14ac:dyDescent="0.3">
      <c r="A314" s="6">
        <v>307</v>
      </c>
      <c r="B314" t="s">
        <v>496</v>
      </c>
      <c r="C314" s="2" t="s">
        <v>497</v>
      </c>
      <c r="D314" t="s">
        <v>15</v>
      </c>
      <c r="F314" t="s">
        <v>1599</v>
      </c>
      <c r="G314" t="s">
        <v>1606</v>
      </c>
      <c r="H314" s="5">
        <v>24</v>
      </c>
      <c r="J314">
        <v>75</v>
      </c>
      <c r="P314" s="6">
        <v>58</v>
      </c>
    </row>
    <row r="315" spans="1:16" x14ac:dyDescent="0.3">
      <c r="A315" s="6">
        <v>308</v>
      </c>
      <c r="B315" t="s">
        <v>498</v>
      </c>
      <c r="D315" t="s">
        <v>15</v>
      </c>
      <c r="F315" t="s">
        <v>1599</v>
      </c>
      <c r="G315" t="s">
        <v>1606</v>
      </c>
      <c r="H315" s="5">
        <v>40</v>
      </c>
      <c r="J315">
        <v>45</v>
      </c>
      <c r="P315" s="6">
        <v>34</v>
      </c>
    </row>
    <row r="316" spans="1:16" x14ac:dyDescent="0.3">
      <c r="A316" s="6">
        <v>309</v>
      </c>
      <c r="B316" t="s">
        <v>499</v>
      </c>
      <c r="C316" s="2" t="s">
        <v>500</v>
      </c>
      <c r="D316" t="s">
        <v>15</v>
      </c>
      <c r="F316" t="s">
        <v>1599</v>
      </c>
      <c r="G316" t="s">
        <v>1606</v>
      </c>
      <c r="H316" s="5">
        <v>84</v>
      </c>
      <c r="J316">
        <v>25</v>
      </c>
      <c r="P316" s="6">
        <v>20</v>
      </c>
    </row>
    <row r="317" spans="1:16" x14ac:dyDescent="0.3">
      <c r="A317" s="6">
        <v>310</v>
      </c>
      <c r="B317" t="s">
        <v>501</v>
      </c>
      <c r="C317" s="2" t="s">
        <v>502</v>
      </c>
      <c r="D317" t="s">
        <v>15</v>
      </c>
      <c r="F317" t="s">
        <v>1599</v>
      </c>
      <c r="G317" t="s">
        <v>1606</v>
      </c>
      <c r="H317" s="5">
        <v>75</v>
      </c>
      <c r="J317">
        <v>50</v>
      </c>
      <c r="P317" s="6">
        <v>38</v>
      </c>
    </row>
    <row r="318" spans="1:16" x14ac:dyDescent="0.3">
      <c r="A318" s="6">
        <v>311</v>
      </c>
      <c r="B318" t="s">
        <v>327</v>
      </c>
      <c r="C318" s="2" t="s">
        <v>503</v>
      </c>
      <c r="D318" t="s">
        <v>15</v>
      </c>
      <c r="F318" t="s">
        <v>1599</v>
      </c>
      <c r="G318" t="s">
        <v>1606</v>
      </c>
      <c r="H318" s="5">
        <v>14</v>
      </c>
      <c r="J318">
        <v>100</v>
      </c>
      <c r="P318" s="6">
        <v>88</v>
      </c>
    </row>
    <row r="319" spans="1:16" x14ac:dyDescent="0.3">
      <c r="A319" s="6">
        <v>312</v>
      </c>
      <c r="B319" t="s">
        <v>504</v>
      </c>
      <c r="D319" t="s">
        <v>15</v>
      </c>
      <c r="F319" t="s">
        <v>1599</v>
      </c>
      <c r="G319" t="s">
        <v>1606</v>
      </c>
      <c r="H319" s="5">
        <f>22+67</f>
        <v>89</v>
      </c>
      <c r="J319">
        <v>160</v>
      </c>
      <c r="P319" s="6">
        <v>128</v>
      </c>
    </row>
    <row r="320" spans="1:16" x14ac:dyDescent="0.3">
      <c r="A320" s="6">
        <v>313</v>
      </c>
      <c r="B320" t="s">
        <v>505</v>
      </c>
      <c r="D320" t="s">
        <v>15</v>
      </c>
      <c r="F320" t="s">
        <v>1599</v>
      </c>
      <c r="G320" t="s">
        <v>1606</v>
      </c>
      <c r="H320" s="5">
        <v>48</v>
      </c>
      <c r="J320">
        <v>30</v>
      </c>
      <c r="P320" s="6">
        <v>21</v>
      </c>
    </row>
    <row r="321" spans="1:16" x14ac:dyDescent="0.3">
      <c r="A321" s="6">
        <v>314</v>
      </c>
      <c r="B321" t="s">
        <v>506</v>
      </c>
      <c r="D321" t="s">
        <v>15</v>
      </c>
      <c r="F321" t="s">
        <v>1599</v>
      </c>
      <c r="G321" t="s">
        <v>1606</v>
      </c>
      <c r="H321" s="5">
        <v>57</v>
      </c>
      <c r="J321">
        <v>70</v>
      </c>
      <c r="P321" s="6">
        <v>56</v>
      </c>
    </row>
    <row r="322" spans="1:16" x14ac:dyDescent="0.3">
      <c r="A322" s="6">
        <v>315</v>
      </c>
      <c r="B322" t="s">
        <v>277</v>
      </c>
      <c r="C322" s="2" t="s">
        <v>507</v>
      </c>
      <c r="D322" t="s">
        <v>15</v>
      </c>
      <c r="F322" t="s">
        <v>1599</v>
      </c>
      <c r="G322" t="s">
        <v>1606</v>
      </c>
      <c r="H322" s="5">
        <v>16</v>
      </c>
      <c r="J322">
        <v>85</v>
      </c>
      <c r="P322" s="6">
        <v>68</v>
      </c>
    </row>
    <row r="323" spans="1:16" x14ac:dyDescent="0.3">
      <c r="A323" s="6">
        <v>316</v>
      </c>
      <c r="B323" t="s">
        <v>508</v>
      </c>
      <c r="C323" s="2" t="s">
        <v>509</v>
      </c>
      <c r="D323" t="s">
        <v>15</v>
      </c>
      <c r="F323" t="s">
        <v>1599</v>
      </c>
      <c r="G323" t="s">
        <v>1606</v>
      </c>
      <c r="H323" s="5">
        <v>100</v>
      </c>
      <c r="J323">
        <v>50</v>
      </c>
      <c r="P323" s="6">
        <v>38</v>
      </c>
    </row>
    <row r="324" spans="1:16" x14ac:dyDescent="0.3">
      <c r="A324" s="6">
        <v>317</v>
      </c>
      <c r="B324" t="s">
        <v>510</v>
      </c>
      <c r="D324" t="s">
        <v>15</v>
      </c>
      <c r="F324" t="s">
        <v>1599</v>
      </c>
      <c r="G324" t="s">
        <v>1606</v>
      </c>
      <c r="H324" s="5">
        <v>166</v>
      </c>
      <c r="J324">
        <v>25</v>
      </c>
      <c r="P324" s="6">
        <v>19</v>
      </c>
    </row>
    <row r="325" spans="1:16" x14ac:dyDescent="0.3">
      <c r="A325" s="6">
        <v>318</v>
      </c>
      <c r="B325" t="s">
        <v>511</v>
      </c>
      <c r="D325" t="s">
        <v>15</v>
      </c>
      <c r="F325" t="s">
        <v>1599</v>
      </c>
      <c r="G325" t="s">
        <v>1606</v>
      </c>
      <c r="H325" s="5">
        <v>20</v>
      </c>
      <c r="J325">
        <v>50</v>
      </c>
      <c r="P325" s="6">
        <v>38</v>
      </c>
    </row>
    <row r="326" spans="1:16" x14ac:dyDescent="0.3">
      <c r="A326" s="6">
        <v>319</v>
      </c>
      <c r="B326" t="s">
        <v>512</v>
      </c>
      <c r="D326" t="s">
        <v>15</v>
      </c>
      <c r="F326" t="s">
        <v>1599</v>
      </c>
      <c r="G326" t="s">
        <v>1606</v>
      </c>
      <c r="H326" s="5">
        <v>116</v>
      </c>
      <c r="J326">
        <v>120</v>
      </c>
      <c r="P326" s="6">
        <v>100</v>
      </c>
    </row>
    <row r="327" spans="1:16" x14ac:dyDescent="0.3">
      <c r="A327" s="6">
        <v>320</v>
      </c>
      <c r="B327" t="s">
        <v>134</v>
      </c>
      <c r="C327" s="2" t="s">
        <v>513</v>
      </c>
      <c r="D327" t="s">
        <v>15</v>
      </c>
      <c r="F327" t="s">
        <v>1599</v>
      </c>
      <c r="G327" t="s">
        <v>1606</v>
      </c>
      <c r="H327" s="5">
        <v>64</v>
      </c>
      <c r="J327">
        <v>90</v>
      </c>
      <c r="P327" s="6">
        <v>70</v>
      </c>
    </row>
    <row r="328" spans="1:16" x14ac:dyDescent="0.3">
      <c r="A328" s="6">
        <v>321</v>
      </c>
      <c r="B328" t="s">
        <v>514</v>
      </c>
      <c r="D328" t="s">
        <v>15</v>
      </c>
      <c r="F328" t="s">
        <v>1599</v>
      </c>
      <c r="G328" t="s">
        <v>1606</v>
      </c>
      <c r="H328" s="5">
        <v>260</v>
      </c>
      <c r="J328">
        <v>10</v>
      </c>
      <c r="P328" s="6">
        <v>6</v>
      </c>
    </row>
    <row r="329" spans="1:16" x14ac:dyDescent="0.3">
      <c r="A329" s="6">
        <v>322</v>
      </c>
      <c r="B329" t="s">
        <v>515</v>
      </c>
      <c r="C329" s="2">
        <v>1004</v>
      </c>
      <c r="D329" t="s">
        <v>15</v>
      </c>
      <c r="F329" t="s">
        <v>1599</v>
      </c>
      <c r="G329" t="s">
        <v>1606</v>
      </c>
      <c r="H329" s="5">
        <v>51</v>
      </c>
      <c r="J329">
        <v>80</v>
      </c>
      <c r="P329" s="6">
        <v>65</v>
      </c>
    </row>
    <row r="330" spans="1:16" x14ac:dyDescent="0.3">
      <c r="A330" s="6">
        <v>323</v>
      </c>
      <c r="B330" t="s">
        <v>516</v>
      </c>
      <c r="C330" s="2" t="s">
        <v>517</v>
      </c>
      <c r="D330" t="s">
        <v>15</v>
      </c>
      <c r="F330" t="s">
        <v>1599</v>
      </c>
      <c r="G330" t="s">
        <v>1606</v>
      </c>
      <c r="H330" s="5">
        <v>44</v>
      </c>
      <c r="J330">
        <v>95</v>
      </c>
      <c r="P330" s="6">
        <v>78</v>
      </c>
    </row>
    <row r="331" spans="1:16" x14ac:dyDescent="0.3">
      <c r="A331" s="6">
        <v>324</v>
      </c>
      <c r="B331" t="s">
        <v>518</v>
      </c>
      <c r="C331" s="2" t="s">
        <v>519</v>
      </c>
      <c r="D331" t="s">
        <v>15</v>
      </c>
      <c r="F331" t="s">
        <v>1599</v>
      </c>
      <c r="G331" t="s">
        <v>1606</v>
      </c>
      <c r="H331" s="5">
        <v>95</v>
      </c>
      <c r="J331">
        <v>85</v>
      </c>
      <c r="P331" s="6">
        <v>68</v>
      </c>
    </row>
    <row r="332" spans="1:16" x14ac:dyDescent="0.3">
      <c r="A332" s="6">
        <v>325</v>
      </c>
      <c r="B332" t="s">
        <v>520</v>
      </c>
      <c r="C332" s="2" t="s">
        <v>521</v>
      </c>
      <c r="D332" t="s">
        <v>15</v>
      </c>
      <c r="F332" t="s">
        <v>1599</v>
      </c>
      <c r="G332" t="s">
        <v>1606</v>
      </c>
      <c r="H332" s="5">
        <v>82</v>
      </c>
      <c r="J332">
        <v>100</v>
      </c>
      <c r="P332" s="6">
        <v>80</v>
      </c>
    </row>
    <row r="333" spans="1:16" x14ac:dyDescent="0.3">
      <c r="A333" s="6">
        <v>326</v>
      </c>
      <c r="B333" t="s">
        <v>522</v>
      </c>
      <c r="D333" t="s">
        <v>15</v>
      </c>
      <c r="F333" t="s">
        <v>1599</v>
      </c>
      <c r="G333" t="s">
        <v>1606</v>
      </c>
      <c r="H333" s="5">
        <f>36+15</f>
        <v>51</v>
      </c>
      <c r="J333">
        <v>55</v>
      </c>
      <c r="P333" s="6">
        <v>43</v>
      </c>
    </row>
    <row r="334" spans="1:16" x14ac:dyDescent="0.3">
      <c r="A334" s="6">
        <v>327</v>
      </c>
      <c r="B334" t="s">
        <v>501</v>
      </c>
      <c r="C334" s="2">
        <v>1321</v>
      </c>
      <c r="D334" t="s">
        <v>15</v>
      </c>
      <c r="F334" t="s">
        <v>1599</v>
      </c>
      <c r="G334" t="s">
        <v>1606</v>
      </c>
      <c r="H334" s="5">
        <f>191+252</f>
        <v>443</v>
      </c>
      <c r="J334">
        <v>85</v>
      </c>
      <c r="P334" s="6">
        <v>68</v>
      </c>
    </row>
    <row r="335" spans="1:16" x14ac:dyDescent="0.3">
      <c r="A335" s="6">
        <v>328</v>
      </c>
      <c r="B335" t="s">
        <v>524</v>
      </c>
      <c r="C335" s="2">
        <v>652</v>
      </c>
      <c r="D335" t="s">
        <v>15</v>
      </c>
      <c r="F335" t="s">
        <v>1599</v>
      </c>
      <c r="G335" t="s">
        <v>1606</v>
      </c>
      <c r="H335" s="5">
        <v>88</v>
      </c>
      <c r="J335">
        <v>140</v>
      </c>
      <c r="P335" s="6">
        <v>105</v>
      </c>
    </row>
    <row r="336" spans="1:16" x14ac:dyDescent="0.3">
      <c r="A336" s="6">
        <v>329</v>
      </c>
      <c r="B336" t="s">
        <v>523</v>
      </c>
      <c r="D336" t="s">
        <v>15</v>
      </c>
      <c r="F336" t="s">
        <v>1599</v>
      </c>
      <c r="G336" t="s">
        <v>1606</v>
      </c>
      <c r="H336" s="5">
        <v>128</v>
      </c>
      <c r="J336">
        <v>50</v>
      </c>
      <c r="P336" s="6">
        <v>39</v>
      </c>
    </row>
    <row r="337" spans="1:16" x14ac:dyDescent="0.3">
      <c r="A337" s="6">
        <v>330</v>
      </c>
      <c r="B337" t="s">
        <v>177</v>
      </c>
      <c r="C337" s="2" t="s">
        <v>525</v>
      </c>
      <c r="D337" t="s">
        <v>15</v>
      </c>
      <c r="F337" t="s">
        <v>1599</v>
      </c>
      <c r="G337" t="s">
        <v>1606</v>
      </c>
      <c r="H337" s="5">
        <v>252</v>
      </c>
      <c r="J337">
        <v>60</v>
      </c>
      <c r="P337" s="6">
        <v>47</v>
      </c>
    </row>
    <row r="338" spans="1:16" x14ac:dyDescent="0.3">
      <c r="A338" s="6">
        <v>331</v>
      </c>
      <c r="B338" t="s">
        <v>526</v>
      </c>
      <c r="C338" s="2" t="s">
        <v>527</v>
      </c>
      <c r="D338" t="s">
        <v>15</v>
      </c>
      <c r="F338" t="s">
        <v>1599</v>
      </c>
      <c r="G338" t="s">
        <v>1606</v>
      </c>
      <c r="H338" s="5">
        <v>125</v>
      </c>
      <c r="J338">
        <v>140</v>
      </c>
      <c r="P338" s="6">
        <v>120</v>
      </c>
    </row>
    <row r="339" spans="1:16" x14ac:dyDescent="0.3">
      <c r="A339" s="6">
        <v>332</v>
      </c>
      <c r="B339" t="s">
        <v>528</v>
      </c>
      <c r="C339" s="2" t="s">
        <v>529</v>
      </c>
      <c r="D339" t="s">
        <v>15</v>
      </c>
      <c r="F339" t="s">
        <v>1599</v>
      </c>
      <c r="G339" t="s">
        <v>1606</v>
      </c>
      <c r="H339" s="5">
        <v>118</v>
      </c>
      <c r="J339">
        <v>60</v>
      </c>
      <c r="P339" s="6">
        <v>43</v>
      </c>
    </row>
    <row r="340" spans="1:16" x14ac:dyDescent="0.3">
      <c r="A340" s="6">
        <v>333</v>
      </c>
      <c r="B340" t="s">
        <v>530</v>
      </c>
      <c r="C340" s="2" t="s">
        <v>531</v>
      </c>
      <c r="D340" t="s">
        <v>15</v>
      </c>
      <c r="F340" t="s">
        <v>1599</v>
      </c>
      <c r="G340" t="s">
        <v>1606</v>
      </c>
      <c r="H340" s="5">
        <v>124</v>
      </c>
      <c r="J340">
        <v>110</v>
      </c>
      <c r="P340" s="6">
        <v>78</v>
      </c>
    </row>
    <row r="341" spans="1:16" x14ac:dyDescent="0.3">
      <c r="A341" s="6">
        <v>334</v>
      </c>
      <c r="B341" t="s">
        <v>532</v>
      </c>
      <c r="C341" s="2" t="s">
        <v>533</v>
      </c>
      <c r="D341" t="s">
        <v>15</v>
      </c>
      <c r="F341" t="s">
        <v>1599</v>
      </c>
      <c r="G341" t="s">
        <v>1606</v>
      </c>
      <c r="H341" s="5">
        <v>300</v>
      </c>
      <c r="J341">
        <v>30</v>
      </c>
      <c r="P341" s="6">
        <v>28</v>
      </c>
    </row>
    <row r="342" spans="1:16" x14ac:dyDescent="0.3">
      <c r="A342" s="6">
        <v>335</v>
      </c>
      <c r="B342" t="s">
        <v>501</v>
      </c>
      <c r="C342" s="2" t="s">
        <v>534</v>
      </c>
      <c r="D342" t="s">
        <v>15</v>
      </c>
      <c r="F342" t="s">
        <v>1599</v>
      </c>
      <c r="G342" t="s">
        <v>1606</v>
      </c>
      <c r="H342" s="5">
        <v>61</v>
      </c>
      <c r="J342">
        <v>120</v>
      </c>
      <c r="P342" s="6">
        <v>90</v>
      </c>
    </row>
    <row r="343" spans="1:16" x14ac:dyDescent="0.3">
      <c r="A343" s="6">
        <v>336</v>
      </c>
      <c r="B343" t="s">
        <v>535</v>
      </c>
      <c r="C343" s="2" t="s">
        <v>536</v>
      </c>
      <c r="D343" t="s">
        <v>15</v>
      </c>
      <c r="F343" t="s">
        <v>1599</v>
      </c>
      <c r="G343" t="s">
        <v>1606</v>
      </c>
      <c r="H343" s="5">
        <v>44</v>
      </c>
      <c r="J343">
        <v>105</v>
      </c>
      <c r="P343" s="6">
        <v>84</v>
      </c>
    </row>
    <row r="344" spans="1:16" x14ac:dyDescent="0.3">
      <c r="A344" s="6">
        <v>337</v>
      </c>
      <c r="B344" t="s">
        <v>109</v>
      </c>
      <c r="C344" s="2" t="s">
        <v>537</v>
      </c>
      <c r="D344" t="s">
        <v>15</v>
      </c>
      <c r="F344" t="s">
        <v>1599</v>
      </c>
      <c r="G344" t="s">
        <v>1606</v>
      </c>
      <c r="H344" s="5">
        <f>144+60</f>
        <v>204</v>
      </c>
      <c r="J344">
        <v>65</v>
      </c>
      <c r="P344" s="6">
        <v>44</v>
      </c>
    </row>
    <row r="345" spans="1:16" x14ac:dyDescent="0.3">
      <c r="A345" s="6">
        <v>338</v>
      </c>
      <c r="B345" t="s">
        <v>235</v>
      </c>
      <c r="C345" s="2">
        <v>3634</v>
      </c>
      <c r="D345" t="s">
        <v>15</v>
      </c>
      <c r="F345" t="s">
        <v>1599</v>
      </c>
      <c r="G345" t="s">
        <v>1606</v>
      </c>
      <c r="H345" s="5">
        <v>105</v>
      </c>
      <c r="J345">
        <v>95</v>
      </c>
      <c r="P345" s="6">
        <v>78</v>
      </c>
    </row>
    <row r="346" spans="1:16" x14ac:dyDescent="0.3">
      <c r="A346" s="6">
        <v>339</v>
      </c>
      <c r="B346" t="s">
        <v>64</v>
      </c>
      <c r="C346" s="2" t="s">
        <v>538</v>
      </c>
      <c r="D346" t="s">
        <v>15</v>
      </c>
      <c r="F346" t="s">
        <v>1599</v>
      </c>
      <c r="G346" t="s">
        <v>1606</v>
      </c>
      <c r="H346" s="5">
        <v>116</v>
      </c>
      <c r="J346">
        <v>120</v>
      </c>
      <c r="P346" s="6">
        <v>95</v>
      </c>
    </row>
    <row r="347" spans="1:16" x14ac:dyDescent="0.3">
      <c r="A347" s="6">
        <v>340</v>
      </c>
      <c r="B347" t="s">
        <v>540</v>
      </c>
      <c r="C347" s="2" t="s">
        <v>539</v>
      </c>
      <c r="D347" t="s">
        <v>15</v>
      </c>
      <c r="F347" t="s">
        <v>1599</v>
      </c>
      <c r="G347" t="s">
        <v>1606</v>
      </c>
      <c r="H347" s="5">
        <v>27</v>
      </c>
      <c r="J347">
        <v>60</v>
      </c>
      <c r="P347" s="6">
        <v>46</v>
      </c>
    </row>
    <row r="348" spans="1:16" x14ac:dyDescent="0.3">
      <c r="A348" s="6">
        <v>341</v>
      </c>
      <c r="B348" t="s">
        <v>541</v>
      </c>
      <c r="C348" s="2">
        <v>857</v>
      </c>
      <c r="D348" t="s">
        <v>15</v>
      </c>
      <c r="F348" t="s">
        <v>1599</v>
      </c>
      <c r="G348" t="s">
        <v>1606</v>
      </c>
      <c r="H348" s="5">
        <v>20</v>
      </c>
      <c r="J348">
        <v>70</v>
      </c>
      <c r="P348" s="6">
        <v>55</v>
      </c>
    </row>
    <row r="349" spans="1:16" x14ac:dyDescent="0.3">
      <c r="A349" s="6">
        <v>342</v>
      </c>
      <c r="B349" t="s">
        <v>542</v>
      </c>
      <c r="C349" s="2" t="s">
        <v>543</v>
      </c>
      <c r="D349" t="s">
        <v>15</v>
      </c>
      <c r="F349" t="s">
        <v>1599</v>
      </c>
      <c r="G349" t="s">
        <v>1606</v>
      </c>
      <c r="H349" s="5">
        <f>72+24</f>
        <v>96</v>
      </c>
      <c r="J349">
        <v>65</v>
      </c>
      <c r="P349" s="6">
        <v>45</v>
      </c>
    </row>
    <row r="350" spans="1:16" x14ac:dyDescent="0.3">
      <c r="A350" s="6">
        <v>343</v>
      </c>
      <c r="B350" t="s">
        <v>544</v>
      </c>
      <c r="C350" s="2" t="s">
        <v>545</v>
      </c>
      <c r="D350" t="s">
        <v>15</v>
      </c>
      <c r="F350" t="s">
        <v>1599</v>
      </c>
      <c r="G350" t="s">
        <v>1606</v>
      </c>
      <c r="H350" s="5">
        <f>102+732</f>
        <v>834</v>
      </c>
      <c r="J350">
        <v>40</v>
      </c>
      <c r="P350" s="6">
        <v>32</v>
      </c>
    </row>
    <row r="351" spans="1:16" x14ac:dyDescent="0.3">
      <c r="A351" s="6">
        <v>344</v>
      </c>
      <c r="B351" t="s">
        <v>546</v>
      </c>
      <c r="C351" s="2" t="s">
        <v>547</v>
      </c>
      <c r="D351" t="s">
        <v>15</v>
      </c>
      <c r="F351" t="s">
        <v>1599</v>
      </c>
      <c r="G351" t="s">
        <v>1606</v>
      </c>
      <c r="H351" s="5">
        <v>44</v>
      </c>
      <c r="J351">
        <v>220</v>
      </c>
      <c r="P351" s="6">
        <v>175</v>
      </c>
    </row>
    <row r="352" spans="1:16" x14ac:dyDescent="0.3">
      <c r="A352" s="6">
        <v>345</v>
      </c>
      <c r="B352" t="s">
        <v>548</v>
      </c>
      <c r="C352" s="2">
        <v>612</v>
      </c>
      <c r="D352" t="s">
        <v>15</v>
      </c>
      <c r="F352" t="s">
        <v>1599</v>
      </c>
      <c r="G352" t="s">
        <v>1606</v>
      </c>
      <c r="H352" s="5">
        <v>57</v>
      </c>
      <c r="J352">
        <v>70</v>
      </c>
      <c r="P352" s="6">
        <v>55</v>
      </c>
    </row>
    <row r="353" spans="1:16" x14ac:dyDescent="0.3">
      <c r="A353" s="6">
        <v>346</v>
      </c>
      <c r="B353" t="s">
        <v>548</v>
      </c>
      <c r="C353" s="2">
        <v>215</v>
      </c>
      <c r="D353" t="s">
        <v>15</v>
      </c>
      <c r="F353" t="s">
        <v>1599</v>
      </c>
      <c r="G353" t="s">
        <v>1606</v>
      </c>
      <c r="H353" s="5">
        <v>28</v>
      </c>
      <c r="J353">
        <v>135</v>
      </c>
      <c r="P353" s="6">
        <v>105</v>
      </c>
    </row>
    <row r="354" spans="1:16" x14ac:dyDescent="0.3">
      <c r="A354" s="6">
        <v>347</v>
      </c>
      <c r="B354" t="s">
        <v>549</v>
      </c>
      <c r="D354" t="s">
        <v>15</v>
      </c>
      <c r="F354" t="s">
        <v>1599</v>
      </c>
      <c r="G354" t="s">
        <v>1606</v>
      </c>
      <c r="H354" s="5">
        <v>171</v>
      </c>
      <c r="J354">
        <v>100</v>
      </c>
      <c r="P354" s="6">
        <v>78</v>
      </c>
    </row>
    <row r="355" spans="1:16" x14ac:dyDescent="0.3">
      <c r="A355" s="6">
        <v>348</v>
      </c>
      <c r="B355" t="s">
        <v>550</v>
      </c>
      <c r="C355" s="2" t="s">
        <v>551</v>
      </c>
      <c r="D355" t="s">
        <v>208</v>
      </c>
      <c r="F355" t="s">
        <v>1599</v>
      </c>
      <c r="G355" t="s">
        <v>1606</v>
      </c>
      <c r="H355" s="5">
        <v>26</v>
      </c>
      <c r="J355">
        <v>200</v>
      </c>
      <c r="P355" s="6">
        <v>150</v>
      </c>
    </row>
    <row r="356" spans="1:16" x14ac:dyDescent="0.3">
      <c r="A356" s="6">
        <v>349</v>
      </c>
      <c r="B356" t="s">
        <v>552</v>
      </c>
      <c r="C356" s="2" t="s">
        <v>553</v>
      </c>
      <c r="D356" t="s">
        <v>15</v>
      </c>
      <c r="F356" t="s">
        <v>1599</v>
      </c>
      <c r="G356" t="s">
        <v>1606</v>
      </c>
      <c r="H356" s="5">
        <v>6</v>
      </c>
      <c r="J356">
        <v>190</v>
      </c>
      <c r="P356" s="6">
        <v>145</v>
      </c>
    </row>
    <row r="357" spans="1:16" x14ac:dyDescent="0.3">
      <c r="A357" s="6">
        <v>350</v>
      </c>
      <c r="B357" t="s">
        <v>554</v>
      </c>
      <c r="D357" t="s">
        <v>15</v>
      </c>
      <c r="F357" t="s">
        <v>1599</v>
      </c>
      <c r="G357" t="s">
        <v>1606</v>
      </c>
      <c r="H357" s="5">
        <v>509</v>
      </c>
      <c r="J357">
        <v>40</v>
      </c>
      <c r="P357" s="6">
        <v>29</v>
      </c>
    </row>
    <row r="358" spans="1:16" x14ac:dyDescent="0.3">
      <c r="A358" s="6">
        <v>351</v>
      </c>
      <c r="B358" t="s">
        <v>297</v>
      </c>
      <c r="C358" s="2" t="s">
        <v>555</v>
      </c>
      <c r="D358" t="s">
        <v>15</v>
      </c>
      <c r="F358" t="s">
        <v>1599</v>
      </c>
      <c r="G358" t="s">
        <v>1606</v>
      </c>
      <c r="H358" s="5">
        <v>139</v>
      </c>
      <c r="J358">
        <v>55</v>
      </c>
      <c r="P358" s="6">
        <v>31</v>
      </c>
    </row>
    <row r="359" spans="1:16" x14ac:dyDescent="0.3">
      <c r="A359" s="6">
        <v>352</v>
      </c>
      <c r="B359" t="s">
        <v>93</v>
      </c>
      <c r="C359" s="2" t="s">
        <v>556</v>
      </c>
      <c r="D359" t="s">
        <v>15</v>
      </c>
      <c r="F359" t="s">
        <v>1599</v>
      </c>
      <c r="G359" t="s">
        <v>1606</v>
      </c>
      <c r="H359" s="5">
        <v>56</v>
      </c>
      <c r="J359">
        <v>90</v>
      </c>
      <c r="P359" s="6">
        <v>74</v>
      </c>
    </row>
    <row r="360" spans="1:16" x14ac:dyDescent="0.3">
      <c r="A360" s="6">
        <v>353</v>
      </c>
      <c r="B360" t="s">
        <v>557</v>
      </c>
      <c r="C360" s="2" t="s">
        <v>558</v>
      </c>
      <c r="D360" t="s">
        <v>15</v>
      </c>
      <c r="F360" t="s">
        <v>1599</v>
      </c>
      <c r="G360" t="s">
        <v>1606</v>
      </c>
      <c r="H360" s="5">
        <v>125</v>
      </c>
      <c r="J360">
        <v>60</v>
      </c>
      <c r="P360" s="6">
        <v>39</v>
      </c>
    </row>
    <row r="361" spans="1:16" x14ac:dyDescent="0.3">
      <c r="A361" s="6">
        <v>354</v>
      </c>
      <c r="B361" t="s">
        <v>559</v>
      </c>
      <c r="D361" t="s">
        <v>15</v>
      </c>
      <c r="F361" t="s">
        <v>1599</v>
      </c>
      <c r="G361" t="s">
        <v>1606</v>
      </c>
      <c r="H361" s="5">
        <v>187</v>
      </c>
      <c r="J361">
        <v>25</v>
      </c>
      <c r="P361" s="6">
        <v>19</v>
      </c>
    </row>
    <row r="362" spans="1:16" x14ac:dyDescent="0.3">
      <c r="A362" s="6">
        <v>355</v>
      </c>
      <c r="B362" t="s">
        <v>560</v>
      </c>
      <c r="C362" s="2" t="s">
        <v>561</v>
      </c>
      <c r="D362" t="s">
        <v>15</v>
      </c>
      <c r="F362" t="s">
        <v>1599</v>
      </c>
      <c r="G362" t="s">
        <v>1606</v>
      </c>
      <c r="H362" s="5">
        <v>99</v>
      </c>
      <c r="J362">
        <v>40</v>
      </c>
      <c r="P362" s="6">
        <v>24</v>
      </c>
    </row>
    <row r="363" spans="1:16" x14ac:dyDescent="0.3">
      <c r="A363" s="6">
        <v>356</v>
      </c>
      <c r="B363" t="s">
        <v>562</v>
      </c>
      <c r="C363" s="2">
        <v>2669</v>
      </c>
      <c r="D363" t="s">
        <v>15</v>
      </c>
      <c r="F363" t="s">
        <v>1599</v>
      </c>
      <c r="G363" t="s">
        <v>1606</v>
      </c>
      <c r="H363" s="5">
        <v>9</v>
      </c>
      <c r="J363">
        <v>130</v>
      </c>
      <c r="P363" s="6">
        <v>105</v>
      </c>
    </row>
    <row r="364" spans="1:16" x14ac:dyDescent="0.3">
      <c r="A364" s="6">
        <v>357</v>
      </c>
      <c r="B364" t="s">
        <v>563</v>
      </c>
      <c r="D364" t="s">
        <v>15</v>
      </c>
      <c r="F364" t="s">
        <v>1599</v>
      </c>
      <c r="G364" t="s">
        <v>1606</v>
      </c>
      <c r="H364" s="5">
        <v>230</v>
      </c>
      <c r="J364">
        <v>50</v>
      </c>
      <c r="P364" s="6">
        <v>40</v>
      </c>
    </row>
    <row r="365" spans="1:16" x14ac:dyDescent="0.3">
      <c r="A365" s="6">
        <v>358</v>
      </c>
      <c r="B365" t="s">
        <v>564</v>
      </c>
      <c r="C365" s="2" t="s">
        <v>565</v>
      </c>
      <c r="D365" t="s">
        <v>15</v>
      </c>
      <c r="F365" t="s">
        <v>1599</v>
      </c>
      <c r="G365" t="s">
        <v>1606</v>
      </c>
      <c r="H365" s="5">
        <v>195</v>
      </c>
      <c r="J365">
        <v>80</v>
      </c>
      <c r="P365" s="6">
        <v>65</v>
      </c>
    </row>
    <row r="366" spans="1:16" x14ac:dyDescent="0.3">
      <c r="A366" s="6">
        <v>359</v>
      </c>
      <c r="B366" t="s">
        <v>566</v>
      </c>
      <c r="C366" s="2" t="s">
        <v>567</v>
      </c>
      <c r="D366" t="s">
        <v>15</v>
      </c>
      <c r="F366" t="s">
        <v>1599</v>
      </c>
      <c r="G366" t="s">
        <v>1606</v>
      </c>
      <c r="H366" s="5">
        <v>195</v>
      </c>
      <c r="J366">
        <v>75</v>
      </c>
      <c r="P366" s="6">
        <v>58</v>
      </c>
    </row>
    <row r="367" spans="1:16" x14ac:dyDescent="0.3">
      <c r="A367" s="6">
        <v>360</v>
      </c>
      <c r="B367" t="s">
        <v>568</v>
      </c>
      <c r="C367" s="2" t="s">
        <v>569</v>
      </c>
      <c r="D367" t="s">
        <v>15</v>
      </c>
      <c r="F367" t="s">
        <v>1599</v>
      </c>
      <c r="G367" t="s">
        <v>1606</v>
      </c>
      <c r="H367" s="5">
        <f>361+72</f>
        <v>433</v>
      </c>
      <c r="J367">
        <v>70</v>
      </c>
      <c r="P367" s="6">
        <v>55</v>
      </c>
    </row>
    <row r="368" spans="1:16" x14ac:dyDescent="0.3">
      <c r="A368" s="6">
        <v>361</v>
      </c>
      <c r="B368" t="s">
        <v>572</v>
      </c>
      <c r="C368" s="2" t="s">
        <v>571</v>
      </c>
      <c r="D368" t="s">
        <v>15</v>
      </c>
      <c r="F368" t="s">
        <v>1599</v>
      </c>
      <c r="G368" t="s">
        <v>1606</v>
      </c>
      <c r="H368" s="5">
        <v>775</v>
      </c>
      <c r="J368">
        <v>35</v>
      </c>
      <c r="P368" s="6">
        <v>27</v>
      </c>
    </row>
    <row r="369" spans="1:16" x14ac:dyDescent="0.3">
      <c r="A369" s="6">
        <v>362</v>
      </c>
      <c r="B369" t="s">
        <v>573</v>
      </c>
      <c r="C369" s="2" t="s">
        <v>574</v>
      </c>
      <c r="D369" t="s">
        <v>15</v>
      </c>
      <c r="F369" t="s">
        <v>1599</v>
      </c>
      <c r="G369" t="s">
        <v>1606</v>
      </c>
      <c r="H369" s="5">
        <v>178</v>
      </c>
      <c r="J369">
        <v>90</v>
      </c>
      <c r="P369" s="6">
        <v>66</v>
      </c>
    </row>
    <row r="370" spans="1:16" x14ac:dyDescent="0.3">
      <c r="A370" s="6">
        <v>363</v>
      </c>
      <c r="B370" t="s">
        <v>575</v>
      </c>
      <c r="C370" s="2" t="s">
        <v>576</v>
      </c>
      <c r="D370" t="s">
        <v>15</v>
      </c>
      <c r="F370" t="s">
        <v>1599</v>
      </c>
      <c r="G370" t="s">
        <v>1606</v>
      </c>
      <c r="H370" s="5">
        <v>104</v>
      </c>
      <c r="J370">
        <v>55</v>
      </c>
      <c r="P370" s="6">
        <v>42</v>
      </c>
    </row>
    <row r="371" spans="1:16" x14ac:dyDescent="0.3">
      <c r="A371" s="6">
        <v>364</v>
      </c>
      <c r="B371" t="s">
        <v>570</v>
      </c>
      <c r="C371" s="2">
        <v>3044</v>
      </c>
      <c r="D371" t="s">
        <v>15</v>
      </c>
      <c r="F371" t="s">
        <v>1599</v>
      </c>
      <c r="G371" t="s">
        <v>1606</v>
      </c>
      <c r="H371" s="5">
        <v>74</v>
      </c>
      <c r="J371">
        <v>14</v>
      </c>
      <c r="P371" s="6">
        <v>10.5</v>
      </c>
    </row>
    <row r="372" spans="1:16" x14ac:dyDescent="0.3">
      <c r="A372" s="6">
        <v>365</v>
      </c>
      <c r="B372" t="s">
        <v>577</v>
      </c>
      <c r="D372" t="s">
        <v>15</v>
      </c>
      <c r="F372" t="s">
        <v>1599</v>
      </c>
      <c r="G372" t="s">
        <v>1606</v>
      </c>
      <c r="H372" s="5">
        <v>20</v>
      </c>
      <c r="J372">
        <v>85</v>
      </c>
      <c r="P372" s="6">
        <v>68</v>
      </c>
    </row>
    <row r="373" spans="1:16" x14ac:dyDescent="0.3">
      <c r="A373" s="6">
        <v>366</v>
      </c>
      <c r="B373" t="s">
        <v>578</v>
      </c>
      <c r="C373" s="2" t="s">
        <v>579</v>
      </c>
      <c r="D373" t="s">
        <v>15</v>
      </c>
      <c r="F373" t="s">
        <v>1599</v>
      </c>
      <c r="G373" t="s">
        <v>1606</v>
      </c>
      <c r="H373" s="5">
        <v>16</v>
      </c>
      <c r="J373">
        <v>80</v>
      </c>
      <c r="P373" s="6">
        <v>65</v>
      </c>
    </row>
    <row r="374" spans="1:16" x14ac:dyDescent="0.3">
      <c r="A374" s="6">
        <v>367</v>
      </c>
      <c r="B374" t="s">
        <v>580</v>
      </c>
      <c r="C374" s="2">
        <v>177175</v>
      </c>
      <c r="D374" t="s">
        <v>15</v>
      </c>
      <c r="F374" t="s">
        <v>1599</v>
      </c>
      <c r="G374" t="s">
        <v>1606</v>
      </c>
      <c r="H374" s="5">
        <v>212</v>
      </c>
      <c r="J374">
        <v>60</v>
      </c>
      <c r="P374" s="6">
        <v>48</v>
      </c>
    </row>
    <row r="375" spans="1:16" x14ac:dyDescent="0.3">
      <c r="A375" s="6">
        <v>368</v>
      </c>
      <c r="B375" t="s">
        <v>581</v>
      </c>
      <c r="C375" s="2" t="s">
        <v>582</v>
      </c>
      <c r="D375" t="s">
        <v>15</v>
      </c>
      <c r="F375" t="s">
        <v>1599</v>
      </c>
      <c r="G375" t="s">
        <v>1606</v>
      </c>
      <c r="H375" s="5">
        <v>98</v>
      </c>
      <c r="J375">
        <v>100</v>
      </c>
      <c r="P375" s="6">
        <v>78</v>
      </c>
    </row>
    <row r="376" spans="1:16" x14ac:dyDescent="0.3">
      <c r="A376" s="6">
        <v>369</v>
      </c>
      <c r="B376" t="s">
        <v>501</v>
      </c>
      <c r="C376" s="2">
        <v>663660</v>
      </c>
      <c r="D376" t="s">
        <v>15</v>
      </c>
      <c r="F376" t="s">
        <v>1599</v>
      </c>
      <c r="G376" t="s">
        <v>1606</v>
      </c>
      <c r="H376" s="5">
        <v>129</v>
      </c>
      <c r="J376">
        <v>150</v>
      </c>
      <c r="P376" s="6">
        <v>125</v>
      </c>
    </row>
    <row r="377" spans="1:16" x14ac:dyDescent="0.3">
      <c r="A377" s="6">
        <v>370</v>
      </c>
      <c r="B377" t="s">
        <v>501</v>
      </c>
      <c r="C377" s="2" t="s">
        <v>583</v>
      </c>
      <c r="D377" t="s">
        <v>15</v>
      </c>
      <c r="F377" t="s">
        <v>1599</v>
      </c>
      <c r="G377" t="s">
        <v>1606</v>
      </c>
      <c r="H377" s="5">
        <f>144+108</f>
        <v>252</v>
      </c>
      <c r="J377">
        <v>125</v>
      </c>
      <c r="P377" s="6">
        <v>98</v>
      </c>
    </row>
    <row r="378" spans="1:16" x14ac:dyDescent="0.3">
      <c r="A378" s="6">
        <v>371</v>
      </c>
      <c r="B378" t="s">
        <v>584</v>
      </c>
      <c r="C378" s="2" t="s">
        <v>585</v>
      </c>
      <c r="D378" t="s">
        <v>15</v>
      </c>
      <c r="F378" t="s">
        <v>1599</v>
      </c>
      <c r="G378" t="s">
        <v>1606</v>
      </c>
      <c r="H378" s="5">
        <v>114</v>
      </c>
      <c r="J378">
        <v>45</v>
      </c>
      <c r="P378" s="6">
        <v>35</v>
      </c>
    </row>
    <row r="379" spans="1:16" x14ac:dyDescent="0.3">
      <c r="A379" s="6">
        <v>372</v>
      </c>
      <c r="B379" t="s">
        <v>488</v>
      </c>
      <c r="C379" s="2" t="s">
        <v>586</v>
      </c>
      <c r="D379" t="s">
        <v>15</v>
      </c>
      <c r="F379" t="s">
        <v>1599</v>
      </c>
      <c r="G379" t="s">
        <v>1606</v>
      </c>
      <c r="H379" s="5">
        <f>5+48</f>
        <v>53</v>
      </c>
      <c r="J379">
        <v>105</v>
      </c>
      <c r="P379" s="6">
        <v>82</v>
      </c>
    </row>
    <row r="380" spans="1:16" x14ac:dyDescent="0.3">
      <c r="A380" s="6">
        <v>373</v>
      </c>
      <c r="B380" t="s">
        <v>587</v>
      </c>
      <c r="C380" s="2" t="s">
        <v>588</v>
      </c>
      <c r="D380" t="s">
        <v>15</v>
      </c>
      <c r="F380" t="s">
        <v>1599</v>
      </c>
      <c r="G380" t="s">
        <v>1606</v>
      </c>
      <c r="H380" s="5">
        <v>25</v>
      </c>
      <c r="J380">
        <v>45</v>
      </c>
      <c r="P380" s="6">
        <v>35</v>
      </c>
    </row>
    <row r="381" spans="1:16" x14ac:dyDescent="0.3">
      <c r="A381" s="6">
        <v>374</v>
      </c>
      <c r="B381" t="s">
        <v>589</v>
      </c>
      <c r="D381" t="s">
        <v>15</v>
      </c>
      <c r="F381" t="s">
        <v>1599</v>
      </c>
      <c r="G381" t="s">
        <v>1606</v>
      </c>
      <c r="H381" s="5">
        <v>134</v>
      </c>
      <c r="J381">
        <v>35</v>
      </c>
      <c r="P381" s="6">
        <v>27</v>
      </c>
    </row>
    <row r="382" spans="1:16" x14ac:dyDescent="0.3">
      <c r="A382" s="6">
        <v>375</v>
      </c>
      <c r="B382" t="s">
        <v>590</v>
      </c>
      <c r="C382" s="2" t="s">
        <v>591</v>
      </c>
      <c r="D382" t="s">
        <v>15</v>
      </c>
      <c r="F382" t="s">
        <v>1599</v>
      </c>
      <c r="G382" t="s">
        <v>1606</v>
      </c>
      <c r="H382" s="5">
        <v>41</v>
      </c>
      <c r="J382">
        <v>190</v>
      </c>
      <c r="P382" s="6">
        <v>170</v>
      </c>
    </row>
    <row r="383" spans="1:16" x14ac:dyDescent="0.3">
      <c r="A383" s="6">
        <v>376</v>
      </c>
      <c r="B383" t="s">
        <v>584</v>
      </c>
      <c r="C383" s="2" t="s">
        <v>592</v>
      </c>
      <c r="D383" t="s">
        <v>15</v>
      </c>
      <c r="F383" t="s">
        <v>1599</v>
      </c>
      <c r="G383" t="s">
        <v>1606</v>
      </c>
      <c r="H383" s="5">
        <v>107</v>
      </c>
      <c r="J383">
        <v>40</v>
      </c>
      <c r="P383" s="6">
        <v>30</v>
      </c>
    </row>
    <row r="384" spans="1:16" x14ac:dyDescent="0.3">
      <c r="A384" s="6">
        <v>377</v>
      </c>
      <c r="B384" t="s">
        <v>593</v>
      </c>
      <c r="C384" s="2" t="s">
        <v>594</v>
      </c>
      <c r="D384" t="s">
        <v>15</v>
      </c>
      <c r="F384" t="s">
        <v>1599</v>
      </c>
      <c r="G384" t="s">
        <v>1606</v>
      </c>
      <c r="H384" s="5">
        <v>151</v>
      </c>
      <c r="J384">
        <v>120</v>
      </c>
      <c r="P384" s="6">
        <v>98</v>
      </c>
    </row>
    <row r="385" spans="1:16" x14ac:dyDescent="0.3">
      <c r="A385" s="6">
        <v>378</v>
      </c>
      <c r="B385" t="s">
        <v>595</v>
      </c>
      <c r="C385" s="2" t="s">
        <v>596</v>
      </c>
      <c r="D385" t="s">
        <v>15</v>
      </c>
      <c r="F385" t="s">
        <v>1599</v>
      </c>
      <c r="G385" t="s">
        <v>1606</v>
      </c>
      <c r="H385" s="5">
        <v>93</v>
      </c>
      <c r="J385">
        <v>120</v>
      </c>
      <c r="P385" s="6">
        <v>98</v>
      </c>
    </row>
    <row r="386" spans="1:16" x14ac:dyDescent="0.3">
      <c r="A386" s="6">
        <v>379</v>
      </c>
      <c r="B386" t="s">
        <v>597</v>
      </c>
      <c r="D386" t="s">
        <v>15</v>
      </c>
      <c r="F386" t="s">
        <v>1599</v>
      </c>
      <c r="G386" t="s">
        <v>1606</v>
      </c>
      <c r="H386" s="5">
        <v>44</v>
      </c>
      <c r="J386">
        <v>40</v>
      </c>
      <c r="P386" s="6">
        <v>30</v>
      </c>
    </row>
    <row r="387" spans="1:16" x14ac:dyDescent="0.3">
      <c r="A387" s="6">
        <v>380</v>
      </c>
      <c r="B387" t="s">
        <v>501</v>
      </c>
      <c r="C387" s="2" t="s">
        <v>598</v>
      </c>
      <c r="D387" t="s">
        <v>15</v>
      </c>
      <c r="F387" t="s">
        <v>1599</v>
      </c>
      <c r="G387" t="s">
        <v>1606</v>
      </c>
      <c r="H387" s="5">
        <v>108</v>
      </c>
      <c r="J387">
        <v>95</v>
      </c>
      <c r="P387" s="6">
        <v>75</v>
      </c>
    </row>
    <row r="388" spans="1:16" x14ac:dyDescent="0.3">
      <c r="A388" s="6">
        <v>381</v>
      </c>
      <c r="B388" t="s">
        <v>599</v>
      </c>
      <c r="C388" s="2" t="s">
        <v>600</v>
      </c>
      <c r="D388" t="s">
        <v>15</v>
      </c>
      <c r="F388" t="s">
        <v>1599</v>
      </c>
      <c r="G388" t="s">
        <v>1606</v>
      </c>
      <c r="H388" s="5">
        <v>144</v>
      </c>
      <c r="J388">
        <v>55</v>
      </c>
      <c r="P388" s="6">
        <v>42</v>
      </c>
    </row>
    <row r="389" spans="1:16" x14ac:dyDescent="0.3">
      <c r="A389" s="6">
        <v>382</v>
      </c>
      <c r="B389" t="s">
        <v>601</v>
      </c>
      <c r="C389" s="2" t="s">
        <v>602</v>
      </c>
      <c r="D389" t="s">
        <v>15</v>
      </c>
      <c r="F389" t="s">
        <v>1599</v>
      </c>
      <c r="G389" t="s">
        <v>1606</v>
      </c>
      <c r="H389" s="5">
        <v>63</v>
      </c>
      <c r="J389">
        <v>115</v>
      </c>
      <c r="P389" s="6">
        <v>95</v>
      </c>
    </row>
    <row r="390" spans="1:16" x14ac:dyDescent="0.3">
      <c r="A390" s="6">
        <v>383</v>
      </c>
      <c r="B390" t="s">
        <v>604</v>
      </c>
      <c r="C390" s="2" t="s">
        <v>603</v>
      </c>
      <c r="D390" t="s">
        <v>15</v>
      </c>
      <c r="F390" t="s">
        <v>1599</v>
      </c>
      <c r="G390" t="s">
        <v>1606</v>
      </c>
      <c r="H390" s="5">
        <v>343</v>
      </c>
      <c r="J390">
        <v>45</v>
      </c>
      <c r="P390" s="6">
        <v>45</v>
      </c>
    </row>
    <row r="391" spans="1:16" x14ac:dyDescent="0.3">
      <c r="A391" s="6">
        <v>384</v>
      </c>
      <c r="B391" t="s">
        <v>605</v>
      </c>
      <c r="C391" s="2" t="s">
        <v>606</v>
      </c>
      <c r="D391" t="s">
        <v>15</v>
      </c>
      <c r="F391" t="s">
        <v>1599</v>
      </c>
      <c r="G391" t="s">
        <v>1606</v>
      </c>
      <c r="H391" s="5">
        <v>285</v>
      </c>
      <c r="J391">
        <v>45</v>
      </c>
      <c r="P391" s="6">
        <v>45</v>
      </c>
    </row>
    <row r="392" spans="1:16" x14ac:dyDescent="0.3">
      <c r="A392" s="6">
        <v>385</v>
      </c>
      <c r="B392" t="s">
        <v>501</v>
      </c>
      <c r="C392" s="2" t="s">
        <v>607</v>
      </c>
      <c r="D392" t="s">
        <v>15</v>
      </c>
      <c r="F392" t="s">
        <v>1599</v>
      </c>
      <c r="G392" t="s">
        <v>1606</v>
      </c>
      <c r="H392" s="5">
        <v>802</v>
      </c>
      <c r="J392">
        <v>40</v>
      </c>
      <c r="P392" s="6">
        <v>21</v>
      </c>
    </row>
    <row r="393" spans="1:16" x14ac:dyDescent="0.3">
      <c r="A393" s="6">
        <v>386</v>
      </c>
      <c r="B393" t="s">
        <v>608</v>
      </c>
      <c r="C393" s="2" t="s">
        <v>609</v>
      </c>
      <c r="D393" t="s">
        <v>15</v>
      </c>
      <c r="F393" t="s">
        <v>1599</v>
      </c>
      <c r="G393" t="s">
        <v>1606</v>
      </c>
      <c r="H393" s="5">
        <v>88</v>
      </c>
      <c r="J393">
        <v>120</v>
      </c>
      <c r="P393" s="6">
        <v>98</v>
      </c>
    </row>
    <row r="394" spans="1:16" x14ac:dyDescent="0.3">
      <c r="A394" s="6">
        <v>387</v>
      </c>
      <c r="B394" t="s">
        <v>610</v>
      </c>
      <c r="C394" s="2" t="s">
        <v>611</v>
      </c>
      <c r="D394" t="s">
        <v>208</v>
      </c>
      <c r="F394" t="s">
        <v>1599</v>
      </c>
      <c r="G394" t="s">
        <v>1606</v>
      </c>
      <c r="H394" s="5">
        <v>12</v>
      </c>
      <c r="J394">
        <v>840</v>
      </c>
      <c r="P394" s="6">
        <v>660</v>
      </c>
    </row>
    <row r="395" spans="1:16" x14ac:dyDescent="0.3">
      <c r="A395" s="6">
        <v>388</v>
      </c>
      <c r="B395" t="s">
        <v>612</v>
      </c>
      <c r="C395" s="2" t="s">
        <v>613</v>
      </c>
      <c r="D395" t="s">
        <v>15</v>
      </c>
      <c r="F395" t="s">
        <v>1599</v>
      </c>
      <c r="G395" t="s">
        <v>1606</v>
      </c>
      <c r="H395" s="5">
        <v>93</v>
      </c>
      <c r="J395">
        <v>150</v>
      </c>
      <c r="P395" s="6">
        <v>112</v>
      </c>
    </row>
    <row r="396" spans="1:16" x14ac:dyDescent="0.3">
      <c r="A396" s="6">
        <v>389</v>
      </c>
      <c r="B396" t="s">
        <v>612</v>
      </c>
      <c r="C396" s="2" t="s">
        <v>614</v>
      </c>
      <c r="D396" t="s">
        <v>15</v>
      </c>
      <c r="F396" t="s">
        <v>1599</v>
      </c>
      <c r="G396" t="s">
        <v>1606</v>
      </c>
      <c r="H396" s="5">
        <v>228</v>
      </c>
      <c r="J396">
        <v>120</v>
      </c>
      <c r="P396" s="6">
        <v>100</v>
      </c>
    </row>
    <row r="397" spans="1:16" x14ac:dyDescent="0.3">
      <c r="A397" s="6">
        <v>390</v>
      </c>
      <c r="B397" t="s">
        <v>612</v>
      </c>
      <c r="C397" s="2" t="s">
        <v>615</v>
      </c>
      <c r="D397" t="s">
        <v>15</v>
      </c>
      <c r="F397" t="s">
        <v>1599</v>
      </c>
      <c r="G397" t="s">
        <v>1606</v>
      </c>
      <c r="H397" s="5">
        <v>96</v>
      </c>
      <c r="J397">
        <v>120</v>
      </c>
      <c r="P397" s="6">
        <v>88</v>
      </c>
    </row>
    <row r="398" spans="1:16" x14ac:dyDescent="0.3">
      <c r="A398" s="6">
        <v>391</v>
      </c>
      <c r="B398" t="s">
        <v>267</v>
      </c>
      <c r="C398" s="2" t="s">
        <v>616</v>
      </c>
      <c r="D398" t="s">
        <v>15</v>
      </c>
      <c r="F398" t="s">
        <v>1599</v>
      </c>
      <c r="G398" t="s">
        <v>1606</v>
      </c>
      <c r="H398" s="5">
        <v>131</v>
      </c>
      <c r="J398">
        <v>70</v>
      </c>
      <c r="P398" s="6">
        <v>51</v>
      </c>
    </row>
    <row r="399" spans="1:16" x14ac:dyDescent="0.3">
      <c r="A399" s="6">
        <v>392</v>
      </c>
      <c r="B399" t="s">
        <v>617</v>
      </c>
      <c r="C399" s="2" t="s">
        <v>618</v>
      </c>
      <c r="D399" t="s">
        <v>15</v>
      </c>
      <c r="F399" t="s">
        <v>1599</v>
      </c>
      <c r="G399" t="s">
        <v>1606</v>
      </c>
      <c r="H399" s="5">
        <v>88</v>
      </c>
      <c r="J399">
        <v>195</v>
      </c>
      <c r="P399" s="6">
        <v>160</v>
      </c>
    </row>
    <row r="400" spans="1:16" x14ac:dyDescent="0.3">
      <c r="A400" s="6">
        <v>393</v>
      </c>
      <c r="B400" t="s">
        <v>619</v>
      </c>
      <c r="C400" s="2" t="s">
        <v>620</v>
      </c>
      <c r="D400" t="s">
        <v>15</v>
      </c>
      <c r="F400" t="s">
        <v>1599</v>
      </c>
      <c r="G400" t="s">
        <v>1606</v>
      </c>
      <c r="H400" s="5">
        <v>48</v>
      </c>
      <c r="J400">
        <v>65</v>
      </c>
      <c r="P400" s="6">
        <v>50</v>
      </c>
    </row>
    <row r="401" spans="1:16" x14ac:dyDescent="0.3">
      <c r="A401" s="6">
        <v>394</v>
      </c>
      <c r="B401" t="s">
        <v>74</v>
      </c>
      <c r="C401" s="2" t="s">
        <v>621</v>
      </c>
      <c r="D401" t="s">
        <v>15</v>
      </c>
      <c r="F401" t="s">
        <v>1599</v>
      </c>
      <c r="G401" t="s">
        <v>1606</v>
      </c>
      <c r="H401" s="5">
        <v>68</v>
      </c>
      <c r="J401">
        <v>170</v>
      </c>
      <c r="P401" s="6">
        <v>135</v>
      </c>
    </row>
    <row r="402" spans="1:16" x14ac:dyDescent="0.3">
      <c r="A402" s="6">
        <v>395</v>
      </c>
      <c r="B402" t="s">
        <v>622</v>
      </c>
      <c r="C402" s="2">
        <v>682</v>
      </c>
      <c r="D402" t="s">
        <v>15</v>
      </c>
      <c r="F402" t="s">
        <v>1599</v>
      </c>
      <c r="G402" t="s">
        <v>1606</v>
      </c>
      <c r="H402" s="5">
        <v>186</v>
      </c>
      <c r="J402">
        <v>70</v>
      </c>
      <c r="P402" s="6">
        <v>55</v>
      </c>
    </row>
    <row r="403" spans="1:16" x14ac:dyDescent="0.3">
      <c r="A403" s="6">
        <v>396</v>
      </c>
      <c r="B403" t="s">
        <v>623</v>
      </c>
      <c r="C403" s="2">
        <v>1168</v>
      </c>
      <c r="D403" t="s">
        <v>15</v>
      </c>
      <c r="F403" t="s">
        <v>1599</v>
      </c>
      <c r="G403" t="s">
        <v>1606</v>
      </c>
      <c r="H403" s="5">
        <v>63</v>
      </c>
      <c r="J403">
        <v>120</v>
      </c>
      <c r="P403" s="6">
        <v>98</v>
      </c>
    </row>
    <row r="404" spans="1:16" x14ac:dyDescent="0.3">
      <c r="A404" s="6">
        <v>397</v>
      </c>
      <c r="B404" t="s">
        <v>624</v>
      </c>
      <c r="C404" s="2">
        <v>314</v>
      </c>
      <c r="D404" t="s">
        <v>15</v>
      </c>
      <c r="F404" t="s">
        <v>1599</v>
      </c>
      <c r="G404" t="s">
        <v>1606</v>
      </c>
      <c r="H404" s="5">
        <v>84</v>
      </c>
      <c r="J404">
        <v>120</v>
      </c>
      <c r="P404" s="6">
        <v>102</v>
      </c>
    </row>
    <row r="405" spans="1:16" x14ac:dyDescent="0.3">
      <c r="A405" s="6">
        <v>398</v>
      </c>
      <c r="B405" t="s">
        <v>235</v>
      </c>
      <c r="C405" s="2" t="s">
        <v>625</v>
      </c>
      <c r="D405" t="s">
        <v>15</v>
      </c>
      <c r="F405" t="s">
        <v>1599</v>
      </c>
      <c r="G405" t="s">
        <v>1606</v>
      </c>
      <c r="H405" s="5">
        <v>264</v>
      </c>
      <c r="J405">
        <v>40</v>
      </c>
      <c r="P405" s="6">
        <v>27</v>
      </c>
    </row>
    <row r="406" spans="1:16" x14ac:dyDescent="0.3">
      <c r="A406" s="6">
        <v>399</v>
      </c>
      <c r="B406" t="s">
        <v>626</v>
      </c>
      <c r="C406" s="2" t="s">
        <v>627</v>
      </c>
      <c r="D406" t="s">
        <v>15</v>
      </c>
      <c r="F406" t="s">
        <v>1599</v>
      </c>
      <c r="G406" t="s">
        <v>1606</v>
      </c>
      <c r="H406" s="5">
        <v>152</v>
      </c>
      <c r="J406">
        <v>70</v>
      </c>
      <c r="P406" s="6">
        <v>51</v>
      </c>
    </row>
    <row r="407" spans="1:16" x14ac:dyDescent="0.3">
      <c r="A407" s="6">
        <v>400</v>
      </c>
      <c r="B407" t="s">
        <v>171</v>
      </c>
      <c r="C407" s="2" t="s">
        <v>628</v>
      </c>
      <c r="D407" t="s">
        <v>15</v>
      </c>
      <c r="F407" t="s">
        <v>1599</v>
      </c>
      <c r="G407" t="s">
        <v>1606</v>
      </c>
      <c r="H407" s="5">
        <v>123</v>
      </c>
      <c r="J407">
        <v>90</v>
      </c>
      <c r="P407" s="6">
        <v>72</v>
      </c>
    </row>
    <row r="408" spans="1:16" x14ac:dyDescent="0.3">
      <c r="A408" s="6">
        <v>401</v>
      </c>
      <c r="B408" t="s">
        <v>64</v>
      </c>
      <c r="C408" s="2">
        <v>229</v>
      </c>
      <c r="D408" t="s">
        <v>15</v>
      </c>
      <c r="F408" t="s">
        <v>1599</v>
      </c>
      <c r="G408" t="s">
        <v>1606</v>
      </c>
      <c r="H408" s="5">
        <v>32</v>
      </c>
      <c r="J408">
        <v>75</v>
      </c>
      <c r="P408" s="6">
        <v>60</v>
      </c>
    </row>
    <row r="409" spans="1:16" x14ac:dyDescent="0.3">
      <c r="A409" s="6">
        <v>402</v>
      </c>
      <c r="B409" t="s">
        <v>122</v>
      </c>
      <c r="C409" s="2" t="s">
        <v>629</v>
      </c>
      <c r="D409" t="s">
        <v>15</v>
      </c>
      <c r="F409" t="s">
        <v>1599</v>
      </c>
      <c r="G409" t="s">
        <v>1606</v>
      </c>
      <c r="H409" s="5">
        <v>89</v>
      </c>
      <c r="J409">
        <v>110</v>
      </c>
      <c r="P409" s="6">
        <v>85</v>
      </c>
    </row>
    <row r="410" spans="1:16" x14ac:dyDescent="0.3">
      <c r="A410" s="6">
        <v>403</v>
      </c>
      <c r="B410" t="s">
        <v>55</v>
      </c>
      <c r="C410" s="2" t="s">
        <v>630</v>
      </c>
      <c r="D410" t="s">
        <v>15</v>
      </c>
      <c r="F410" t="s">
        <v>1599</v>
      </c>
      <c r="G410" t="s">
        <v>1606</v>
      </c>
      <c r="H410" s="5">
        <f>108+36</f>
        <v>144</v>
      </c>
      <c r="J410">
        <v>35</v>
      </c>
      <c r="P410" s="6">
        <v>53</v>
      </c>
    </row>
    <row r="411" spans="1:16" x14ac:dyDescent="0.3">
      <c r="A411" s="6">
        <v>404</v>
      </c>
      <c r="B411" t="s">
        <v>631</v>
      </c>
      <c r="C411" s="2" t="s">
        <v>632</v>
      </c>
      <c r="D411" t="s">
        <v>15</v>
      </c>
      <c r="F411" t="s">
        <v>1599</v>
      </c>
      <c r="G411" t="s">
        <v>1606</v>
      </c>
      <c r="H411" s="5">
        <v>69</v>
      </c>
      <c r="J411">
        <v>60</v>
      </c>
      <c r="P411" s="6">
        <v>47</v>
      </c>
    </row>
    <row r="412" spans="1:16" x14ac:dyDescent="0.3">
      <c r="A412" s="6">
        <v>405</v>
      </c>
      <c r="B412" t="s">
        <v>631</v>
      </c>
      <c r="C412" s="2" t="s">
        <v>633</v>
      </c>
      <c r="D412" t="s">
        <v>15</v>
      </c>
      <c r="F412" t="s">
        <v>1599</v>
      </c>
      <c r="G412" t="s">
        <v>1606</v>
      </c>
      <c r="H412" s="5">
        <v>60</v>
      </c>
      <c r="J412">
        <v>70</v>
      </c>
      <c r="P412" s="6">
        <v>51</v>
      </c>
    </row>
    <row r="413" spans="1:16" x14ac:dyDescent="0.3">
      <c r="A413" s="6">
        <v>406</v>
      </c>
      <c r="B413" t="s">
        <v>634</v>
      </c>
      <c r="C413" s="2">
        <v>800</v>
      </c>
      <c r="D413" t="s">
        <v>15</v>
      </c>
      <c r="F413" t="s">
        <v>1599</v>
      </c>
      <c r="G413" t="s">
        <v>1606</v>
      </c>
      <c r="H413" s="5">
        <v>72</v>
      </c>
      <c r="J413">
        <v>70</v>
      </c>
      <c r="P413" s="6">
        <v>51</v>
      </c>
    </row>
    <row r="414" spans="1:16" x14ac:dyDescent="0.3">
      <c r="A414" s="6">
        <v>407</v>
      </c>
      <c r="B414" t="s">
        <v>51</v>
      </c>
      <c r="C414" s="2" t="s">
        <v>635</v>
      </c>
      <c r="D414" t="s">
        <v>15</v>
      </c>
      <c r="F414" t="s">
        <v>1599</v>
      </c>
      <c r="G414" t="s">
        <v>1606</v>
      </c>
      <c r="H414" s="5">
        <v>93</v>
      </c>
      <c r="J414">
        <v>45</v>
      </c>
      <c r="P414" s="6">
        <v>34</v>
      </c>
    </row>
    <row r="415" spans="1:16" x14ac:dyDescent="0.3">
      <c r="A415" s="6">
        <v>408</v>
      </c>
      <c r="B415" t="s">
        <v>636</v>
      </c>
      <c r="C415" s="2" t="s">
        <v>637</v>
      </c>
      <c r="D415" t="s">
        <v>15</v>
      </c>
      <c r="F415" t="s">
        <v>1599</v>
      </c>
      <c r="G415" t="s">
        <v>1606</v>
      </c>
      <c r="H415" s="5">
        <v>193</v>
      </c>
      <c r="J415">
        <v>60</v>
      </c>
      <c r="P415" s="6">
        <v>48</v>
      </c>
    </row>
    <row r="416" spans="1:16" x14ac:dyDescent="0.3">
      <c r="A416" s="6">
        <v>409</v>
      </c>
      <c r="B416" t="s">
        <v>638</v>
      </c>
      <c r="C416" s="2" t="s">
        <v>639</v>
      </c>
      <c r="D416" t="s">
        <v>15</v>
      </c>
      <c r="F416" t="s">
        <v>1599</v>
      </c>
      <c r="G416" t="s">
        <v>1606</v>
      </c>
      <c r="H416" s="5">
        <v>43</v>
      </c>
      <c r="J416">
        <v>50</v>
      </c>
      <c r="P416" s="6">
        <v>44</v>
      </c>
    </row>
    <row r="417" spans="1:16" x14ac:dyDescent="0.3">
      <c r="A417" s="6">
        <v>410</v>
      </c>
      <c r="B417" t="s">
        <v>640</v>
      </c>
      <c r="C417" s="2">
        <v>921</v>
      </c>
      <c r="D417" t="s">
        <v>15</v>
      </c>
      <c r="F417" t="s">
        <v>1599</v>
      </c>
      <c r="G417" t="s">
        <v>1606</v>
      </c>
      <c r="H417" s="5">
        <v>85</v>
      </c>
      <c r="J417">
        <v>35</v>
      </c>
      <c r="P417" s="6">
        <v>23</v>
      </c>
    </row>
    <row r="418" spans="1:16" x14ac:dyDescent="0.3">
      <c r="A418" s="6">
        <v>411</v>
      </c>
      <c r="B418" t="s">
        <v>641</v>
      </c>
      <c r="C418" s="2" t="s">
        <v>642</v>
      </c>
      <c r="D418" t="s">
        <v>15</v>
      </c>
      <c r="F418" t="s">
        <v>1599</v>
      </c>
      <c r="G418" t="s">
        <v>1606</v>
      </c>
      <c r="H418" s="5">
        <v>83</v>
      </c>
      <c r="J418">
        <v>60</v>
      </c>
      <c r="P418" s="6">
        <v>45</v>
      </c>
    </row>
    <row r="419" spans="1:16" x14ac:dyDescent="0.3">
      <c r="A419" s="6">
        <v>412</v>
      </c>
      <c r="B419" t="s">
        <v>643</v>
      </c>
      <c r="C419" s="2">
        <v>2125</v>
      </c>
      <c r="D419" t="s">
        <v>15</v>
      </c>
      <c r="F419" t="s">
        <v>1599</v>
      </c>
      <c r="G419" t="s">
        <v>1606</v>
      </c>
      <c r="H419" s="5">
        <v>92</v>
      </c>
      <c r="J419">
        <v>100</v>
      </c>
      <c r="P419" s="6">
        <v>90</v>
      </c>
    </row>
    <row r="420" spans="1:16" x14ac:dyDescent="0.3">
      <c r="A420" s="6">
        <v>413</v>
      </c>
      <c r="B420" t="s">
        <v>644</v>
      </c>
      <c r="C420" s="2" t="s">
        <v>645</v>
      </c>
      <c r="D420" t="s">
        <v>15</v>
      </c>
      <c r="F420" t="s">
        <v>1599</v>
      </c>
      <c r="G420" t="s">
        <v>1606</v>
      </c>
      <c r="H420" s="5">
        <v>57</v>
      </c>
      <c r="J420">
        <v>55</v>
      </c>
      <c r="P420" s="6">
        <v>51</v>
      </c>
    </row>
    <row r="421" spans="1:16" x14ac:dyDescent="0.3">
      <c r="A421" s="6">
        <v>414</v>
      </c>
      <c r="B421" t="s">
        <v>646</v>
      </c>
      <c r="C421" s="2" t="s">
        <v>647</v>
      </c>
      <c r="D421" t="s">
        <v>15</v>
      </c>
      <c r="F421" t="s">
        <v>1599</v>
      </c>
      <c r="G421" t="s">
        <v>1606</v>
      </c>
      <c r="H421" s="5">
        <v>72</v>
      </c>
      <c r="J421">
        <v>120</v>
      </c>
      <c r="P421" s="6">
        <v>97</v>
      </c>
    </row>
    <row r="422" spans="1:16" x14ac:dyDescent="0.3">
      <c r="A422" s="6">
        <v>415</v>
      </c>
      <c r="B422" t="s">
        <v>122</v>
      </c>
      <c r="C422" s="2" t="s">
        <v>648</v>
      </c>
      <c r="D422" t="s">
        <v>15</v>
      </c>
      <c r="F422" t="s">
        <v>1599</v>
      </c>
      <c r="G422" t="s">
        <v>1606</v>
      </c>
      <c r="H422" s="5">
        <v>46</v>
      </c>
      <c r="J422">
        <v>95</v>
      </c>
      <c r="P422" s="6">
        <v>75</v>
      </c>
    </row>
    <row r="423" spans="1:16" x14ac:dyDescent="0.3">
      <c r="A423" s="6">
        <v>416</v>
      </c>
      <c r="B423" t="s">
        <v>649</v>
      </c>
      <c r="C423" s="2">
        <v>1007</v>
      </c>
      <c r="D423" t="s">
        <v>15</v>
      </c>
      <c r="F423" t="s">
        <v>1599</v>
      </c>
      <c r="G423" t="s">
        <v>1606</v>
      </c>
      <c r="H423" s="5">
        <v>33</v>
      </c>
      <c r="J423">
        <v>100</v>
      </c>
      <c r="P423" s="6">
        <v>78</v>
      </c>
    </row>
    <row r="424" spans="1:16" x14ac:dyDescent="0.3">
      <c r="A424" s="6">
        <v>417</v>
      </c>
      <c r="B424" t="s">
        <v>362</v>
      </c>
      <c r="C424" s="2" t="s">
        <v>650</v>
      </c>
      <c r="D424" t="s">
        <v>15</v>
      </c>
      <c r="F424" t="s">
        <v>1599</v>
      </c>
      <c r="G424" t="s">
        <v>1606</v>
      </c>
      <c r="H424" s="5">
        <v>227</v>
      </c>
      <c r="J424">
        <v>35</v>
      </c>
      <c r="P424" s="6">
        <v>27</v>
      </c>
    </row>
    <row r="425" spans="1:16" x14ac:dyDescent="0.3">
      <c r="A425" s="6">
        <v>418</v>
      </c>
      <c r="B425" t="s">
        <v>651</v>
      </c>
      <c r="C425" s="2">
        <v>777</v>
      </c>
      <c r="D425" t="s">
        <v>15</v>
      </c>
      <c r="F425" t="s">
        <v>1599</v>
      </c>
      <c r="G425" t="s">
        <v>1606</v>
      </c>
      <c r="H425" s="5">
        <v>192</v>
      </c>
      <c r="J425">
        <v>60</v>
      </c>
      <c r="P425" s="6">
        <v>45</v>
      </c>
    </row>
    <row r="426" spans="1:16" x14ac:dyDescent="0.3">
      <c r="A426" s="6">
        <v>419</v>
      </c>
      <c r="B426" t="s">
        <v>656</v>
      </c>
      <c r="C426" s="2" t="s">
        <v>657</v>
      </c>
      <c r="D426" t="s">
        <v>15</v>
      </c>
      <c r="F426" t="s">
        <v>1599</v>
      </c>
      <c r="G426" t="s">
        <v>1606</v>
      </c>
      <c r="H426" s="5">
        <v>176</v>
      </c>
      <c r="J426">
        <v>65</v>
      </c>
      <c r="P426" s="6">
        <v>45</v>
      </c>
    </row>
    <row r="427" spans="1:16" x14ac:dyDescent="0.3">
      <c r="A427" s="6">
        <v>420</v>
      </c>
      <c r="B427" t="s">
        <v>652</v>
      </c>
      <c r="D427" t="s">
        <v>15</v>
      </c>
      <c r="F427" t="s">
        <v>1599</v>
      </c>
      <c r="G427" t="s">
        <v>1606</v>
      </c>
      <c r="H427" s="5">
        <v>34</v>
      </c>
      <c r="J427">
        <v>110</v>
      </c>
      <c r="P427" s="6">
        <v>90</v>
      </c>
    </row>
    <row r="428" spans="1:16" x14ac:dyDescent="0.3">
      <c r="A428" s="6">
        <v>421</v>
      </c>
      <c r="B428" t="s">
        <v>653</v>
      </c>
      <c r="D428" t="s">
        <v>15</v>
      </c>
      <c r="F428" t="s">
        <v>1599</v>
      </c>
      <c r="G428" t="s">
        <v>1606</v>
      </c>
      <c r="H428" s="5">
        <v>9</v>
      </c>
      <c r="J428">
        <v>400</v>
      </c>
      <c r="P428" s="6">
        <v>325</v>
      </c>
    </row>
    <row r="429" spans="1:16" x14ac:dyDescent="0.3">
      <c r="A429" s="6">
        <v>422</v>
      </c>
      <c r="B429" t="s">
        <v>654</v>
      </c>
      <c r="D429" t="s">
        <v>15</v>
      </c>
      <c r="F429" t="s">
        <v>1599</v>
      </c>
      <c r="G429" t="s">
        <v>1606</v>
      </c>
      <c r="H429" s="5">
        <v>11</v>
      </c>
      <c r="J429">
        <v>350</v>
      </c>
      <c r="P429" s="6">
        <v>280</v>
      </c>
    </row>
    <row r="430" spans="1:16" x14ac:dyDescent="0.3">
      <c r="A430" s="6">
        <v>423</v>
      </c>
      <c r="B430" t="s">
        <v>655</v>
      </c>
      <c r="D430" t="s">
        <v>15</v>
      </c>
      <c r="F430" t="s">
        <v>1599</v>
      </c>
      <c r="G430" t="s">
        <v>1606</v>
      </c>
      <c r="H430" s="5">
        <v>10</v>
      </c>
      <c r="J430">
        <v>300</v>
      </c>
      <c r="P430" s="6">
        <v>240</v>
      </c>
    </row>
    <row r="431" spans="1:16" x14ac:dyDescent="0.3">
      <c r="A431" s="6">
        <v>424</v>
      </c>
      <c r="B431" t="s">
        <v>631</v>
      </c>
      <c r="C431" s="2" t="s">
        <v>658</v>
      </c>
      <c r="D431" t="s">
        <v>15</v>
      </c>
      <c r="F431" t="s">
        <v>1599</v>
      </c>
      <c r="G431" t="s">
        <v>1606</v>
      </c>
      <c r="H431" s="5">
        <v>72</v>
      </c>
      <c r="J431">
        <v>60</v>
      </c>
      <c r="P431" s="6">
        <v>41</v>
      </c>
    </row>
    <row r="432" spans="1:16" x14ac:dyDescent="0.3">
      <c r="A432" s="6">
        <v>425</v>
      </c>
      <c r="B432" t="s">
        <v>659</v>
      </c>
      <c r="C432" s="2" t="s">
        <v>660</v>
      </c>
      <c r="D432" t="s">
        <v>15</v>
      </c>
      <c r="F432" t="s">
        <v>1599</v>
      </c>
      <c r="G432" t="s">
        <v>1606</v>
      </c>
      <c r="H432" s="5">
        <v>69</v>
      </c>
      <c r="J432">
        <v>55</v>
      </c>
      <c r="P432" s="6">
        <v>50</v>
      </c>
    </row>
    <row r="433" spans="1:16" x14ac:dyDescent="0.3">
      <c r="A433" s="6">
        <v>426</v>
      </c>
      <c r="B433" t="s">
        <v>661</v>
      </c>
      <c r="C433" s="2" t="s">
        <v>662</v>
      </c>
      <c r="D433" t="s">
        <v>15</v>
      </c>
      <c r="F433" t="s">
        <v>1599</v>
      </c>
      <c r="G433" t="s">
        <v>1606</v>
      </c>
      <c r="H433" s="5">
        <v>71</v>
      </c>
      <c r="J433">
        <v>60</v>
      </c>
      <c r="P433" s="6">
        <v>48</v>
      </c>
    </row>
    <row r="434" spans="1:16" x14ac:dyDescent="0.3">
      <c r="A434" s="6">
        <v>427</v>
      </c>
      <c r="B434" t="s">
        <v>664</v>
      </c>
      <c r="C434" s="2" t="s">
        <v>663</v>
      </c>
      <c r="D434" t="s">
        <v>15</v>
      </c>
      <c r="F434" t="s">
        <v>1599</v>
      </c>
      <c r="G434" t="s">
        <v>1606</v>
      </c>
      <c r="H434" s="5">
        <v>20</v>
      </c>
      <c r="J434">
        <v>900</v>
      </c>
      <c r="P434" s="6">
        <v>765</v>
      </c>
    </row>
    <row r="435" spans="1:16" x14ac:dyDescent="0.3">
      <c r="A435" s="6">
        <v>428</v>
      </c>
      <c r="B435" t="s">
        <v>498</v>
      </c>
      <c r="C435" s="2" t="s">
        <v>665</v>
      </c>
      <c r="D435" t="s">
        <v>15</v>
      </c>
      <c r="F435" t="s">
        <v>1599</v>
      </c>
      <c r="G435" t="s">
        <v>1606</v>
      </c>
      <c r="H435" s="5">
        <v>53</v>
      </c>
      <c r="J435">
        <v>60</v>
      </c>
      <c r="P435" s="6">
        <v>40</v>
      </c>
    </row>
    <row r="436" spans="1:16" x14ac:dyDescent="0.3">
      <c r="A436" s="6">
        <v>429</v>
      </c>
      <c r="B436" t="s">
        <v>161</v>
      </c>
      <c r="D436" t="s">
        <v>15</v>
      </c>
      <c r="F436" t="s">
        <v>1599</v>
      </c>
      <c r="G436" t="s">
        <v>1606</v>
      </c>
      <c r="H436" s="5">
        <v>114</v>
      </c>
      <c r="J436">
        <v>110</v>
      </c>
      <c r="P436" s="6">
        <v>90</v>
      </c>
    </row>
    <row r="437" spans="1:16" x14ac:dyDescent="0.3">
      <c r="A437" s="6">
        <v>430</v>
      </c>
      <c r="B437" t="s">
        <v>666</v>
      </c>
      <c r="D437" t="s">
        <v>15</v>
      </c>
      <c r="F437" t="s">
        <v>1599</v>
      </c>
      <c r="G437" t="s">
        <v>1606</v>
      </c>
      <c r="H437" s="5">
        <v>18</v>
      </c>
      <c r="J437">
        <v>125</v>
      </c>
      <c r="P437" s="6">
        <v>100</v>
      </c>
    </row>
    <row r="438" spans="1:16" x14ac:dyDescent="0.3">
      <c r="A438" s="6">
        <v>431</v>
      </c>
      <c r="B438" t="s">
        <v>667</v>
      </c>
      <c r="C438" s="2" t="s">
        <v>668</v>
      </c>
      <c r="D438" t="s">
        <v>15</v>
      </c>
      <c r="F438" t="s">
        <v>1599</v>
      </c>
      <c r="G438" t="s">
        <v>1606</v>
      </c>
      <c r="H438" s="5">
        <v>170</v>
      </c>
      <c r="J438">
        <v>55</v>
      </c>
      <c r="P438" s="6">
        <v>36</v>
      </c>
    </row>
    <row r="439" spans="1:16" x14ac:dyDescent="0.3">
      <c r="A439" s="6">
        <v>432</v>
      </c>
      <c r="B439" t="s">
        <v>669</v>
      </c>
      <c r="C439" s="2" t="s">
        <v>670</v>
      </c>
      <c r="D439" t="s">
        <v>15</v>
      </c>
      <c r="F439" t="s">
        <v>1599</v>
      </c>
      <c r="G439" t="s">
        <v>1606</v>
      </c>
      <c r="H439" s="5">
        <v>70</v>
      </c>
      <c r="J439">
        <v>80</v>
      </c>
      <c r="P439" s="6">
        <v>60</v>
      </c>
    </row>
    <row r="440" spans="1:16" x14ac:dyDescent="0.3">
      <c r="A440" s="6">
        <v>433</v>
      </c>
      <c r="B440" t="s">
        <v>671</v>
      </c>
      <c r="D440" t="s">
        <v>15</v>
      </c>
      <c r="F440" t="s">
        <v>1599</v>
      </c>
      <c r="G440" t="s">
        <v>1606</v>
      </c>
      <c r="H440" s="5">
        <v>38</v>
      </c>
      <c r="J440">
        <v>140</v>
      </c>
      <c r="P440" s="6">
        <v>117</v>
      </c>
    </row>
    <row r="441" spans="1:16" x14ac:dyDescent="0.3">
      <c r="A441" s="6">
        <v>434</v>
      </c>
      <c r="B441" t="s">
        <v>672</v>
      </c>
      <c r="D441" t="s">
        <v>15</v>
      </c>
      <c r="F441" t="s">
        <v>1599</v>
      </c>
      <c r="G441" t="s">
        <v>1606</v>
      </c>
      <c r="H441" s="5">
        <v>398</v>
      </c>
      <c r="J441">
        <v>35</v>
      </c>
      <c r="P441" s="6">
        <v>27</v>
      </c>
    </row>
    <row r="442" spans="1:16" x14ac:dyDescent="0.3">
      <c r="A442" s="6">
        <v>435</v>
      </c>
      <c r="B442" t="s">
        <v>673</v>
      </c>
      <c r="D442" t="s">
        <v>15</v>
      </c>
      <c r="F442" t="s">
        <v>1599</v>
      </c>
      <c r="G442" t="s">
        <v>1606</v>
      </c>
      <c r="H442" s="5">
        <v>24</v>
      </c>
      <c r="J442">
        <v>40</v>
      </c>
      <c r="P442" s="6">
        <v>30</v>
      </c>
    </row>
    <row r="443" spans="1:16" x14ac:dyDescent="0.3">
      <c r="A443" s="6">
        <v>436</v>
      </c>
      <c r="B443" t="s">
        <v>580</v>
      </c>
      <c r="D443" t="s">
        <v>15</v>
      </c>
      <c r="F443" t="s">
        <v>1599</v>
      </c>
      <c r="G443" t="s">
        <v>1606</v>
      </c>
      <c r="H443" s="5">
        <v>196</v>
      </c>
      <c r="J443">
        <v>30</v>
      </c>
      <c r="P443" s="6">
        <v>23</v>
      </c>
    </row>
    <row r="444" spans="1:16" x14ac:dyDescent="0.3">
      <c r="A444" s="6">
        <v>437</v>
      </c>
      <c r="B444" t="s">
        <v>674</v>
      </c>
      <c r="D444" t="s">
        <v>15</v>
      </c>
      <c r="F444" t="s">
        <v>1599</v>
      </c>
      <c r="G444" t="s">
        <v>1606</v>
      </c>
      <c r="H444" s="5">
        <v>43</v>
      </c>
      <c r="J444">
        <v>60</v>
      </c>
      <c r="P444" s="6">
        <v>48</v>
      </c>
    </row>
    <row r="445" spans="1:16" x14ac:dyDescent="0.3">
      <c r="A445" s="6">
        <v>438</v>
      </c>
      <c r="B445" t="s">
        <v>675</v>
      </c>
      <c r="D445" t="s">
        <v>15</v>
      </c>
      <c r="F445" t="s">
        <v>1599</v>
      </c>
      <c r="G445" t="s">
        <v>1606</v>
      </c>
      <c r="H445" s="5">
        <v>150</v>
      </c>
      <c r="J445">
        <v>20</v>
      </c>
      <c r="P445" s="6">
        <v>15</v>
      </c>
    </row>
    <row r="446" spans="1:16" x14ac:dyDescent="0.3">
      <c r="A446" s="6">
        <v>439</v>
      </c>
      <c r="B446" t="s">
        <v>676</v>
      </c>
      <c r="D446" t="s">
        <v>15</v>
      </c>
      <c r="F446" t="s">
        <v>1599</v>
      </c>
      <c r="G446" t="s">
        <v>1606</v>
      </c>
      <c r="H446" s="5">
        <v>4</v>
      </c>
      <c r="J446">
        <v>125</v>
      </c>
      <c r="P446" s="6">
        <v>100</v>
      </c>
    </row>
    <row r="447" spans="1:16" x14ac:dyDescent="0.3">
      <c r="A447" s="6">
        <v>440</v>
      </c>
      <c r="B447" t="s">
        <v>677</v>
      </c>
      <c r="D447" t="s">
        <v>15</v>
      </c>
      <c r="F447" t="s">
        <v>1599</v>
      </c>
      <c r="G447" t="s">
        <v>1606</v>
      </c>
      <c r="H447" s="5">
        <v>23</v>
      </c>
      <c r="J447">
        <v>30</v>
      </c>
      <c r="P447" s="6">
        <v>22</v>
      </c>
    </row>
    <row r="448" spans="1:16" x14ac:dyDescent="0.3">
      <c r="A448" s="6">
        <v>441</v>
      </c>
      <c r="B448" t="s">
        <v>678</v>
      </c>
      <c r="D448" t="s">
        <v>15</v>
      </c>
      <c r="F448" t="s">
        <v>1599</v>
      </c>
      <c r="G448" t="s">
        <v>1606</v>
      </c>
      <c r="H448" s="5">
        <v>104</v>
      </c>
      <c r="J448">
        <v>10</v>
      </c>
      <c r="P448" s="6">
        <v>10</v>
      </c>
    </row>
    <row r="449" spans="1:16" x14ac:dyDescent="0.3">
      <c r="A449" s="6">
        <v>442</v>
      </c>
      <c r="B449" t="s">
        <v>679</v>
      </c>
      <c r="D449" t="s">
        <v>15</v>
      </c>
      <c r="F449" t="s">
        <v>1599</v>
      </c>
      <c r="G449" t="s">
        <v>1606</v>
      </c>
      <c r="H449" s="5">
        <v>20</v>
      </c>
      <c r="J449">
        <v>80</v>
      </c>
      <c r="P449" s="6">
        <v>62</v>
      </c>
    </row>
    <row r="450" spans="1:16" x14ac:dyDescent="0.3">
      <c r="A450" s="6">
        <v>443</v>
      </c>
      <c r="B450" t="s">
        <v>680</v>
      </c>
      <c r="D450" t="s">
        <v>15</v>
      </c>
      <c r="F450" t="s">
        <v>1599</v>
      </c>
      <c r="G450" t="s">
        <v>1606</v>
      </c>
      <c r="H450" s="5">
        <v>21</v>
      </c>
      <c r="J450">
        <v>95</v>
      </c>
      <c r="P450" s="6">
        <v>72</v>
      </c>
    </row>
    <row r="451" spans="1:16" x14ac:dyDescent="0.3">
      <c r="A451" s="6">
        <v>444</v>
      </c>
      <c r="B451" t="s">
        <v>277</v>
      </c>
      <c r="C451" s="2" t="s">
        <v>681</v>
      </c>
      <c r="D451" t="s">
        <v>15</v>
      </c>
      <c r="F451" t="s">
        <v>1599</v>
      </c>
      <c r="G451" t="s">
        <v>1606</v>
      </c>
      <c r="H451" s="5">
        <v>24</v>
      </c>
      <c r="J451">
        <v>55</v>
      </c>
      <c r="P451" s="6">
        <v>40</v>
      </c>
    </row>
    <row r="452" spans="1:16" x14ac:dyDescent="0.3">
      <c r="A452" s="6">
        <v>445</v>
      </c>
      <c r="B452" t="s">
        <v>682</v>
      </c>
      <c r="C452" s="2">
        <v>1005</v>
      </c>
      <c r="D452" t="s">
        <v>15</v>
      </c>
      <c r="F452" t="s">
        <v>1599</v>
      </c>
      <c r="G452" t="s">
        <v>1606</v>
      </c>
      <c r="H452" s="5">
        <v>52</v>
      </c>
      <c r="J452">
        <v>95</v>
      </c>
      <c r="P452" s="6">
        <v>73</v>
      </c>
    </row>
    <row r="453" spans="1:16" x14ac:dyDescent="0.3">
      <c r="A453" s="6">
        <v>446</v>
      </c>
      <c r="B453" t="s">
        <v>683</v>
      </c>
      <c r="C453" s="2">
        <v>1006</v>
      </c>
      <c r="D453" t="s">
        <v>15</v>
      </c>
      <c r="F453" t="s">
        <v>1599</v>
      </c>
      <c r="G453" t="s">
        <v>1606</v>
      </c>
      <c r="H453" s="5">
        <v>38</v>
      </c>
      <c r="J453">
        <v>125</v>
      </c>
      <c r="P453" s="6">
        <v>95</v>
      </c>
    </row>
    <row r="454" spans="1:16" x14ac:dyDescent="0.3">
      <c r="A454" s="6">
        <v>447</v>
      </c>
      <c r="B454" t="s">
        <v>684</v>
      </c>
      <c r="C454" s="2" t="s">
        <v>685</v>
      </c>
      <c r="D454" t="s">
        <v>15</v>
      </c>
      <c r="F454" t="s">
        <v>1599</v>
      </c>
      <c r="G454" t="s">
        <v>1606</v>
      </c>
      <c r="H454" s="5">
        <v>21</v>
      </c>
      <c r="J454">
        <v>200</v>
      </c>
      <c r="P454" s="6">
        <v>160</v>
      </c>
    </row>
    <row r="455" spans="1:16" x14ac:dyDescent="0.3">
      <c r="A455" s="6">
        <v>448</v>
      </c>
      <c r="B455" t="s">
        <v>686</v>
      </c>
      <c r="C455" s="2" t="s">
        <v>687</v>
      </c>
      <c r="D455" t="s">
        <v>15</v>
      </c>
      <c r="F455" t="s">
        <v>1599</v>
      </c>
      <c r="G455" t="s">
        <v>1606</v>
      </c>
      <c r="H455" s="5">
        <v>12</v>
      </c>
      <c r="J455">
        <v>900</v>
      </c>
      <c r="P455" s="6">
        <v>550</v>
      </c>
    </row>
    <row r="456" spans="1:16" x14ac:dyDescent="0.3">
      <c r="A456" s="6">
        <v>449</v>
      </c>
      <c r="B456" t="s">
        <v>688</v>
      </c>
      <c r="C456" s="2" t="s">
        <v>689</v>
      </c>
      <c r="D456" t="s">
        <v>15</v>
      </c>
      <c r="F456" t="s">
        <v>1599</v>
      </c>
      <c r="G456" t="s">
        <v>1606</v>
      </c>
      <c r="H456" s="5">
        <f>7+6</f>
        <v>13</v>
      </c>
      <c r="J456">
        <v>680</v>
      </c>
      <c r="P456" s="6">
        <v>550</v>
      </c>
    </row>
    <row r="457" spans="1:16" x14ac:dyDescent="0.3">
      <c r="A457" s="6">
        <v>450</v>
      </c>
      <c r="B457" t="s">
        <v>690</v>
      </c>
      <c r="C457" s="2" t="s">
        <v>691</v>
      </c>
      <c r="D457" t="s">
        <v>15</v>
      </c>
      <c r="F457" t="s">
        <v>1599</v>
      </c>
      <c r="G457" t="s">
        <v>1606</v>
      </c>
      <c r="H457" s="5">
        <v>12</v>
      </c>
      <c r="J457">
        <v>800</v>
      </c>
      <c r="P457" s="6">
        <v>625</v>
      </c>
    </row>
    <row r="458" spans="1:16" x14ac:dyDescent="0.3">
      <c r="A458" s="6">
        <v>451</v>
      </c>
      <c r="B458" t="s">
        <v>692</v>
      </c>
      <c r="C458" s="2" t="s">
        <v>693</v>
      </c>
      <c r="D458" t="s">
        <v>15</v>
      </c>
      <c r="F458" t="s">
        <v>1599</v>
      </c>
      <c r="G458" t="s">
        <v>1606</v>
      </c>
      <c r="H458" s="5">
        <v>8</v>
      </c>
      <c r="J458">
        <v>950</v>
      </c>
      <c r="P458" s="6">
        <v>740</v>
      </c>
    </row>
    <row r="459" spans="1:16" x14ac:dyDescent="0.3">
      <c r="A459" s="6">
        <v>452</v>
      </c>
      <c r="B459" t="s">
        <v>694</v>
      </c>
      <c r="C459" s="2" t="s">
        <v>695</v>
      </c>
      <c r="D459" t="s">
        <v>15</v>
      </c>
      <c r="F459" t="s">
        <v>1599</v>
      </c>
      <c r="G459" t="s">
        <v>1606</v>
      </c>
      <c r="H459" s="5">
        <v>11</v>
      </c>
      <c r="J459">
        <v>560</v>
      </c>
      <c r="P459" s="6">
        <v>440</v>
      </c>
    </row>
    <row r="460" spans="1:16" x14ac:dyDescent="0.3">
      <c r="A460" s="6">
        <v>453</v>
      </c>
      <c r="B460" t="s">
        <v>480</v>
      </c>
      <c r="C460" s="2" t="s">
        <v>696</v>
      </c>
      <c r="D460" t="s">
        <v>15</v>
      </c>
      <c r="F460" t="s">
        <v>1599</v>
      </c>
      <c r="G460" t="s">
        <v>1606</v>
      </c>
      <c r="H460" s="5">
        <v>45</v>
      </c>
      <c r="J460">
        <v>120</v>
      </c>
      <c r="P460" s="6">
        <v>95</v>
      </c>
    </row>
    <row r="461" spans="1:16" x14ac:dyDescent="0.3">
      <c r="A461" s="6">
        <v>454</v>
      </c>
      <c r="B461" t="s">
        <v>697</v>
      </c>
      <c r="C461" s="2" t="s">
        <v>698</v>
      </c>
      <c r="D461" t="s">
        <v>15</v>
      </c>
      <c r="F461" t="s">
        <v>1599</v>
      </c>
      <c r="G461" t="s">
        <v>1606</v>
      </c>
      <c r="H461" s="5">
        <v>3</v>
      </c>
      <c r="J461">
        <v>600</v>
      </c>
      <c r="P461" s="6">
        <v>390</v>
      </c>
    </row>
    <row r="462" spans="1:16" x14ac:dyDescent="0.3">
      <c r="A462" s="6">
        <v>455</v>
      </c>
      <c r="B462" t="s">
        <v>699</v>
      </c>
      <c r="C462" s="2" t="s">
        <v>700</v>
      </c>
      <c r="D462" t="s">
        <v>15</v>
      </c>
      <c r="F462" t="s">
        <v>1599</v>
      </c>
      <c r="G462" t="s">
        <v>1606</v>
      </c>
      <c r="H462" s="5">
        <v>49</v>
      </c>
      <c r="J462">
        <v>85</v>
      </c>
      <c r="P462" s="6">
        <v>68</v>
      </c>
    </row>
    <row r="463" spans="1:16" x14ac:dyDescent="0.3">
      <c r="A463" s="6">
        <v>456</v>
      </c>
      <c r="B463" t="s">
        <v>262</v>
      </c>
      <c r="C463" s="2" t="s">
        <v>701</v>
      </c>
      <c r="D463" t="s">
        <v>15</v>
      </c>
      <c r="F463" t="s">
        <v>1599</v>
      </c>
      <c r="G463" t="s">
        <v>1606</v>
      </c>
      <c r="H463" s="5">
        <v>19</v>
      </c>
      <c r="J463">
        <v>130</v>
      </c>
      <c r="P463" s="6">
        <v>105</v>
      </c>
    </row>
    <row r="464" spans="1:16" x14ac:dyDescent="0.3">
      <c r="A464" s="6">
        <v>457</v>
      </c>
      <c r="B464" t="s">
        <v>702</v>
      </c>
      <c r="C464" s="2">
        <v>2912</v>
      </c>
      <c r="D464" t="s">
        <v>15</v>
      </c>
      <c r="F464" t="s">
        <v>1599</v>
      </c>
      <c r="G464" t="s">
        <v>1606</v>
      </c>
      <c r="H464" s="5">
        <v>12</v>
      </c>
      <c r="J464">
        <v>135</v>
      </c>
      <c r="P464" s="6">
        <v>105</v>
      </c>
    </row>
    <row r="465" spans="1:16" x14ac:dyDescent="0.3">
      <c r="A465" s="6">
        <v>458</v>
      </c>
      <c r="B465" t="s">
        <v>703</v>
      </c>
      <c r="C465" s="2" t="s">
        <v>704</v>
      </c>
      <c r="D465" t="s">
        <v>15</v>
      </c>
      <c r="F465" t="s">
        <v>1599</v>
      </c>
      <c r="G465" t="s">
        <v>1606</v>
      </c>
      <c r="H465" s="5">
        <v>149</v>
      </c>
      <c r="J465">
        <v>75</v>
      </c>
      <c r="P465" s="6">
        <v>100</v>
      </c>
    </row>
    <row r="466" spans="1:16" x14ac:dyDescent="0.3">
      <c r="A466" s="6">
        <v>459</v>
      </c>
      <c r="B466" t="s">
        <v>705</v>
      </c>
      <c r="C466" s="2" t="s">
        <v>706</v>
      </c>
      <c r="D466" t="s">
        <v>15</v>
      </c>
      <c r="F466" t="s">
        <v>1599</v>
      </c>
      <c r="G466" t="s">
        <v>1606</v>
      </c>
      <c r="H466" s="5">
        <v>46</v>
      </c>
      <c r="J466">
        <v>135</v>
      </c>
      <c r="P466" s="6">
        <v>100</v>
      </c>
    </row>
    <row r="467" spans="1:16" x14ac:dyDescent="0.3">
      <c r="A467" s="6">
        <v>460</v>
      </c>
      <c r="B467" t="s">
        <v>707</v>
      </c>
      <c r="C467" s="2">
        <v>9900</v>
      </c>
      <c r="D467" t="s">
        <v>15</v>
      </c>
      <c r="F467" t="s">
        <v>1599</v>
      </c>
      <c r="G467" t="s">
        <v>1606</v>
      </c>
      <c r="H467" s="5">
        <v>55</v>
      </c>
      <c r="J467">
        <v>70</v>
      </c>
      <c r="P467" s="6">
        <v>53</v>
      </c>
    </row>
    <row r="468" spans="1:16" x14ac:dyDescent="0.3">
      <c r="A468" s="6">
        <v>461</v>
      </c>
      <c r="B468" t="s">
        <v>708</v>
      </c>
      <c r="C468" s="2" t="s">
        <v>709</v>
      </c>
      <c r="D468" t="s">
        <v>15</v>
      </c>
      <c r="F468" t="s">
        <v>1599</v>
      </c>
      <c r="G468" t="s">
        <v>1606</v>
      </c>
      <c r="H468" s="5">
        <v>35</v>
      </c>
      <c r="J468">
        <v>70</v>
      </c>
      <c r="P468" s="6">
        <v>55</v>
      </c>
    </row>
    <row r="469" spans="1:16" x14ac:dyDescent="0.3">
      <c r="A469" s="6">
        <v>462</v>
      </c>
      <c r="B469" t="s">
        <v>710</v>
      </c>
      <c r="C469" s="2" t="s">
        <v>711</v>
      </c>
      <c r="D469" t="s">
        <v>15</v>
      </c>
      <c r="F469" t="s">
        <v>1599</v>
      </c>
      <c r="G469" t="s">
        <v>1606</v>
      </c>
      <c r="H469" s="5">
        <v>32</v>
      </c>
      <c r="J469">
        <v>80</v>
      </c>
      <c r="P469" s="6">
        <v>63</v>
      </c>
    </row>
    <row r="470" spans="1:16" x14ac:dyDescent="0.3">
      <c r="A470" s="6">
        <v>463</v>
      </c>
      <c r="B470" t="s">
        <v>712</v>
      </c>
      <c r="C470" s="2">
        <v>2624</v>
      </c>
      <c r="D470" t="s">
        <v>15</v>
      </c>
      <c r="F470" t="s">
        <v>1599</v>
      </c>
      <c r="G470" t="s">
        <v>1606</v>
      </c>
      <c r="H470" s="5">
        <f>15+10</f>
        <v>25</v>
      </c>
      <c r="J470">
        <v>85</v>
      </c>
      <c r="P470" s="6">
        <v>68</v>
      </c>
    </row>
    <row r="471" spans="1:16" x14ac:dyDescent="0.3">
      <c r="A471" s="6">
        <v>464</v>
      </c>
      <c r="B471" t="s">
        <v>713</v>
      </c>
      <c r="C471" s="2" t="s">
        <v>714</v>
      </c>
      <c r="D471" t="s">
        <v>15</v>
      </c>
      <c r="F471" t="s">
        <v>1599</v>
      </c>
      <c r="G471" t="s">
        <v>1606</v>
      </c>
      <c r="H471" s="5">
        <v>45</v>
      </c>
      <c r="J471">
        <v>130</v>
      </c>
      <c r="P471" s="6">
        <v>105</v>
      </c>
    </row>
    <row r="472" spans="1:16" x14ac:dyDescent="0.3">
      <c r="A472" s="6">
        <v>465</v>
      </c>
      <c r="B472" t="s">
        <v>715</v>
      </c>
      <c r="C472" s="2" t="s">
        <v>716</v>
      </c>
      <c r="D472" t="s">
        <v>15</v>
      </c>
      <c r="F472" t="s">
        <v>1599</v>
      </c>
      <c r="G472" t="s">
        <v>1606</v>
      </c>
      <c r="H472" s="5">
        <v>107</v>
      </c>
      <c r="J472">
        <v>90</v>
      </c>
      <c r="P472" s="6">
        <v>68</v>
      </c>
    </row>
    <row r="473" spans="1:16" x14ac:dyDescent="0.3">
      <c r="A473" s="6">
        <v>466</v>
      </c>
      <c r="B473" t="s">
        <v>710</v>
      </c>
      <c r="C473" s="2">
        <v>9016</v>
      </c>
      <c r="D473" t="s">
        <v>15</v>
      </c>
      <c r="F473" t="s">
        <v>1599</v>
      </c>
      <c r="G473" t="s">
        <v>1606</v>
      </c>
      <c r="H473" s="5">
        <v>36</v>
      </c>
      <c r="J473">
        <v>70</v>
      </c>
      <c r="P473" s="6">
        <v>55</v>
      </c>
    </row>
    <row r="474" spans="1:16" x14ac:dyDescent="0.3">
      <c r="A474" s="6">
        <v>467</v>
      </c>
      <c r="B474" t="s">
        <v>262</v>
      </c>
      <c r="C474" s="2" t="s">
        <v>717</v>
      </c>
      <c r="D474" t="s">
        <v>15</v>
      </c>
      <c r="F474" t="s">
        <v>1599</v>
      </c>
      <c r="G474" t="s">
        <v>1606</v>
      </c>
      <c r="H474" s="5">
        <v>78</v>
      </c>
      <c r="J474">
        <v>70</v>
      </c>
      <c r="P474" s="6">
        <v>55</v>
      </c>
    </row>
    <row r="475" spans="1:16" x14ac:dyDescent="0.3">
      <c r="A475" s="6">
        <v>468</v>
      </c>
      <c r="B475" t="s">
        <v>710</v>
      </c>
      <c r="C475" s="2">
        <v>4099</v>
      </c>
      <c r="D475" t="s">
        <v>15</v>
      </c>
      <c r="F475" t="s">
        <v>1599</v>
      </c>
      <c r="G475" t="s">
        <v>1606</v>
      </c>
      <c r="H475" s="5">
        <v>50</v>
      </c>
      <c r="J475">
        <v>80</v>
      </c>
      <c r="P475" s="6">
        <v>63</v>
      </c>
    </row>
    <row r="476" spans="1:16" x14ac:dyDescent="0.3">
      <c r="A476" s="6">
        <v>469</v>
      </c>
      <c r="B476" t="s">
        <v>718</v>
      </c>
      <c r="C476" s="2" t="s">
        <v>719</v>
      </c>
      <c r="D476" t="s">
        <v>15</v>
      </c>
      <c r="F476" t="s">
        <v>1599</v>
      </c>
      <c r="G476" t="s">
        <v>1606</v>
      </c>
      <c r="H476" s="5">
        <v>170</v>
      </c>
      <c r="J476">
        <v>30</v>
      </c>
      <c r="P476" s="6">
        <v>20</v>
      </c>
    </row>
    <row r="477" spans="1:16" x14ac:dyDescent="0.3">
      <c r="A477" s="6">
        <v>470</v>
      </c>
      <c r="B477" t="s">
        <v>720</v>
      </c>
      <c r="C477" s="2" t="s">
        <v>721</v>
      </c>
      <c r="D477" t="s">
        <v>15</v>
      </c>
      <c r="F477" t="s">
        <v>1599</v>
      </c>
      <c r="G477" t="s">
        <v>1606</v>
      </c>
      <c r="H477" s="5">
        <v>57</v>
      </c>
      <c r="J477">
        <v>30</v>
      </c>
      <c r="P477" s="6">
        <v>20</v>
      </c>
    </row>
    <row r="478" spans="1:16" x14ac:dyDescent="0.3">
      <c r="A478" s="6">
        <v>471</v>
      </c>
      <c r="B478" t="s">
        <v>722</v>
      </c>
      <c r="D478" t="s">
        <v>15</v>
      </c>
      <c r="F478" t="s">
        <v>1599</v>
      </c>
      <c r="G478" t="s">
        <v>1606</v>
      </c>
      <c r="H478" s="5">
        <v>47</v>
      </c>
      <c r="J478">
        <v>30</v>
      </c>
      <c r="P478" s="6">
        <v>20</v>
      </c>
    </row>
    <row r="479" spans="1:16" x14ac:dyDescent="0.3">
      <c r="A479" s="6">
        <v>472</v>
      </c>
      <c r="B479" t="s">
        <v>723</v>
      </c>
      <c r="C479" s="2" t="s">
        <v>724</v>
      </c>
      <c r="D479" t="s">
        <v>15</v>
      </c>
      <c r="F479" t="s">
        <v>1599</v>
      </c>
      <c r="G479" t="s">
        <v>1606</v>
      </c>
      <c r="H479" s="5">
        <v>130</v>
      </c>
      <c r="J479">
        <v>95</v>
      </c>
      <c r="P479" s="6">
        <v>65</v>
      </c>
    </row>
    <row r="480" spans="1:16" x14ac:dyDescent="0.3">
      <c r="A480" s="6">
        <v>473</v>
      </c>
      <c r="B480" t="s">
        <v>725</v>
      </c>
      <c r="D480" t="s">
        <v>15</v>
      </c>
      <c r="F480" t="s">
        <v>1599</v>
      </c>
      <c r="G480" t="s">
        <v>1606</v>
      </c>
      <c r="H480" s="5">
        <v>16</v>
      </c>
      <c r="J480">
        <v>100</v>
      </c>
      <c r="P480" s="6">
        <v>70</v>
      </c>
    </row>
    <row r="481" spans="1:16" x14ac:dyDescent="0.3">
      <c r="A481" s="6">
        <v>474</v>
      </c>
      <c r="B481" t="s">
        <v>726</v>
      </c>
      <c r="D481" t="s">
        <v>15</v>
      </c>
      <c r="F481" t="s">
        <v>1599</v>
      </c>
      <c r="G481" t="s">
        <v>1606</v>
      </c>
      <c r="H481" s="5">
        <v>24</v>
      </c>
      <c r="J481">
        <v>160</v>
      </c>
      <c r="P481" s="6">
        <v>115</v>
      </c>
    </row>
    <row r="482" spans="1:16" x14ac:dyDescent="0.3">
      <c r="A482" s="6">
        <v>475</v>
      </c>
      <c r="B482" t="s">
        <v>720</v>
      </c>
      <c r="C482" s="2" t="s">
        <v>727</v>
      </c>
      <c r="D482" t="s">
        <v>15</v>
      </c>
      <c r="F482" t="s">
        <v>1599</v>
      </c>
      <c r="G482" t="s">
        <v>1606</v>
      </c>
      <c r="H482" s="5">
        <v>69</v>
      </c>
      <c r="J482">
        <v>90</v>
      </c>
      <c r="P482" s="6">
        <v>65</v>
      </c>
    </row>
    <row r="483" spans="1:16" x14ac:dyDescent="0.3">
      <c r="A483" s="6">
        <v>476</v>
      </c>
      <c r="B483" t="s">
        <v>728</v>
      </c>
      <c r="C483" s="2" t="s">
        <v>729</v>
      </c>
      <c r="D483" t="s">
        <v>15</v>
      </c>
      <c r="F483" t="s">
        <v>1599</v>
      </c>
      <c r="G483" t="s">
        <v>1606</v>
      </c>
      <c r="H483" s="5">
        <v>12</v>
      </c>
      <c r="J483">
        <v>75</v>
      </c>
      <c r="P483" s="6">
        <v>50</v>
      </c>
    </row>
    <row r="484" spans="1:16" x14ac:dyDescent="0.3">
      <c r="A484" s="6">
        <v>477</v>
      </c>
      <c r="B484" t="s">
        <v>723</v>
      </c>
      <c r="C484" s="2" t="s">
        <v>730</v>
      </c>
      <c r="D484" t="s">
        <v>15</v>
      </c>
      <c r="F484" t="s">
        <v>1599</v>
      </c>
      <c r="G484" t="s">
        <v>1606</v>
      </c>
      <c r="H484" s="5">
        <v>12</v>
      </c>
      <c r="J484">
        <v>85</v>
      </c>
      <c r="P484" s="6">
        <v>58</v>
      </c>
    </row>
    <row r="485" spans="1:16" x14ac:dyDescent="0.3">
      <c r="A485" s="6">
        <v>478</v>
      </c>
      <c r="B485" t="s">
        <v>732</v>
      </c>
      <c r="C485" s="2" t="s">
        <v>731</v>
      </c>
      <c r="D485" t="s">
        <v>15</v>
      </c>
      <c r="F485" t="s">
        <v>1599</v>
      </c>
      <c r="G485" t="s">
        <v>1606</v>
      </c>
      <c r="H485" s="5">
        <v>19</v>
      </c>
      <c r="J485">
        <v>55</v>
      </c>
      <c r="P485" s="6">
        <v>31</v>
      </c>
    </row>
    <row r="486" spans="1:16" x14ac:dyDescent="0.3">
      <c r="A486" s="6">
        <v>479</v>
      </c>
      <c r="B486" t="s">
        <v>723</v>
      </c>
      <c r="C486" s="2" t="s">
        <v>733</v>
      </c>
      <c r="D486" t="s">
        <v>15</v>
      </c>
      <c r="F486" t="s">
        <v>1599</v>
      </c>
      <c r="G486" t="s">
        <v>1606</v>
      </c>
      <c r="H486" s="5">
        <v>90</v>
      </c>
      <c r="J486">
        <v>75</v>
      </c>
      <c r="P486" s="6">
        <v>60</v>
      </c>
    </row>
    <row r="487" spans="1:16" x14ac:dyDescent="0.3">
      <c r="A487" s="6">
        <v>480</v>
      </c>
      <c r="B487" t="s">
        <v>723</v>
      </c>
      <c r="C487" s="2" t="s">
        <v>734</v>
      </c>
      <c r="D487" t="s">
        <v>15</v>
      </c>
      <c r="F487" t="s">
        <v>1599</v>
      </c>
      <c r="G487" t="s">
        <v>1606</v>
      </c>
      <c r="H487" s="5">
        <v>94</v>
      </c>
      <c r="J487">
        <v>60</v>
      </c>
      <c r="P487" s="6">
        <v>47</v>
      </c>
    </row>
    <row r="488" spans="1:16" x14ac:dyDescent="0.3">
      <c r="A488" s="6">
        <v>481</v>
      </c>
      <c r="B488" t="s">
        <v>735</v>
      </c>
      <c r="D488" t="s">
        <v>15</v>
      </c>
      <c r="F488" t="s">
        <v>1599</v>
      </c>
      <c r="G488" t="s">
        <v>1606</v>
      </c>
      <c r="H488" s="5">
        <v>34</v>
      </c>
      <c r="J488">
        <v>30</v>
      </c>
      <c r="P488" s="6">
        <v>20</v>
      </c>
    </row>
    <row r="489" spans="1:16" x14ac:dyDescent="0.3">
      <c r="A489" s="6">
        <v>482</v>
      </c>
      <c r="B489" t="s">
        <v>736</v>
      </c>
      <c r="C489" s="2" t="s">
        <v>737</v>
      </c>
      <c r="D489" t="s">
        <v>15</v>
      </c>
      <c r="F489" t="s">
        <v>1599</v>
      </c>
      <c r="G489" t="s">
        <v>1606</v>
      </c>
      <c r="H489" s="5">
        <v>84</v>
      </c>
      <c r="J489">
        <v>75</v>
      </c>
      <c r="P489" s="6">
        <v>54</v>
      </c>
    </row>
    <row r="490" spans="1:16" x14ac:dyDescent="0.3">
      <c r="A490" s="6">
        <v>483</v>
      </c>
      <c r="B490" t="s">
        <v>736</v>
      </c>
      <c r="C490" s="2" t="s">
        <v>738</v>
      </c>
      <c r="D490" t="s">
        <v>15</v>
      </c>
      <c r="F490" t="s">
        <v>1599</v>
      </c>
      <c r="G490" t="s">
        <v>1606</v>
      </c>
      <c r="H490" s="5">
        <v>134</v>
      </c>
      <c r="J490">
        <v>75</v>
      </c>
      <c r="P490" s="6">
        <v>53</v>
      </c>
    </row>
    <row r="491" spans="1:16" x14ac:dyDescent="0.3">
      <c r="A491" s="6">
        <v>484</v>
      </c>
      <c r="B491" t="s">
        <v>736</v>
      </c>
      <c r="C491" s="2" t="s">
        <v>739</v>
      </c>
      <c r="D491" t="s">
        <v>15</v>
      </c>
      <c r="F491" t="s">
        <v>1599</v>
      </c>
      <c r="G491" t="s">
        <v>1606</v>
      </c>
      <c r="H491" s="5">
        <v>86</v>
      </c>
      <c r="J491">
        <v>85</v>
      </c>
      <c r="P491" s="6">
        <v>64</v>
      </c>
    </row>
    <row r="492" spans="1:16" x14ac:dyDescent="0.3">
      <c r="A492" s="6">
        <v>485</v>
      </c>
      <c r="B492" t="s">
        <v>736</v>
      </c>
      <c r="C492" s="2" t="s">
        <v>740</v>
      </c>
      <c r="D492" t="s">
        <v>15</v>
      </c>
      <c r="F492" t="s">
        <v>1599</v>
      </c>
      <c r="G492" t="s">
        <v>1606</v>
      </c>
      <c r="H492" s="5">
        <v>176</v>
      </c>
      <c r="J492">
        <v>40</v>
      </c>
      <c r="P492" s="6">
        <v>21.5</v>
      </c>
    </row>
    <row r="493" spans="1:16" x14ac:dyDescent="0.3">
      <c r="A493" s="6">
        <v>486</v>
      </c>
      <c r="B493" t="s">
        <v>736</v>
      </c>
      <c r="C493" s="2">
        <v>520</v>
      </c>
      <c r="D493" t="s">
        <v>15</v>
      </c>
      <c r="F493" t="s">
        <v>1599</v>
      </c>
      <c r="G493" t="s">
        <v>1606</v>
      </c>
      <c r="H493" s="5">
        <v>60</v>
      </c>
      <c r="J493">
        <v>90</v>
      </c>
      <c r="P493" s="6">
        <v>70</v>
      </c>
    </row>
    <row r="494" spans="1:16" x14ac:dyDescent="0.3">
      <c r="A494" s="6">
        <v>487</v>
      </c>
      <c r="B494" t="s">
        <v>736</v>
      </c>
      <c r="C494" s="2" t="s">
        <v>741</v>
      </c>
      <c r="D494" t="s">
        <v>15</v>
      </c>
      <c r="F494" t="s">
        <v>1599</v>
      </c>
      <c r="G494" t="s">
        <v>1606</v>
      </c>
      <c r="H494" s="5">
        <v>60</v>
      </c>
      <c r="J494">
        <v>90</v>
      </c>
      <c r="P494" s="6">
        <v>70</v>
      </c>
    </row>
    <row r="495" spans="1:16" x14ac:dyDescent="0.3">
      <c r="A495" s="6">
        <v>488</v>
      </c>
      <c r="B495" t="s">
        <v>742</v>
      </c>
      <c r="C495" s="2">
        <v>903</v>
      </c>
      <c r="D495" t="s">
        <v>15</v>
      </c>
      <c r="F495" t="s">
        <v>1599</v>
      </c>
      <c r="G495" t="s">
        <v>1606</v>
      </c>
      <c r="H495" s="5">
        <v>130</v>
      </c>
      <c r="J495">
        <v>90</v>
      </c>
      <c r="P495" s="6">
        <v>70</v>
      </c>
    </row>
    <row r="496" spans="1:16" x14ac:dyDescent="0.3">
      <c r="A496" s="6">
        <v>489</v>
      </c>
      <c r="B496" t="s">
        <v>736</v>
      </c>
      <c r="C496" s="2">
        <v>329</v>
      </c>
      <c r="D496" t="s">
        <v>15</v>
      </c>
      <c r="F496" t="s">
        <v>1599</v>
      </c>
      <c r="G496" t="s">
        <v>1606</v>
      </c>
      <c r="H496" s="5">
        <v>130</v>
      </c>
      <c r="J496">
        <v>75</v>
      </c>
      <c r="P496" s="6">
        <v>54</v>
      </c>
    </row>
    <row r="497" spans="1:16" x14ac:dyDescent="0.3">
      <c r="A497" s="6">
        <v>490</v>
      </c>
      <c r="B497" t="s">
        <v>736</v>
      </c>
      <c r="C497" s="2">
        <v>709</v>
      </c>
      <c r="D497" t="s">
        <v>15</v>
      </c>
      <c r="F497" t="s">
        <v>1599</v>
      </c>
      <c r="G497" t="s">
        <v>1606</v>
      </c>
      <c r="H497" s="5">
        <v>61</v>
      </c>
      <c r="J497">
        <v>80</v>
      </c>
      <c r="P497" s="6">
        <v>59</v>
      </c>
    </row>
    <row r="498" spans="1:16" x14ac:dyDescent="0.3">
      <c r="A498" s="6">
        <v>491</v>
      </c>
      <c r="B498" t="s">
        <v>736</v>
      </c>
      <c r="C498" s="2" t="s">
        <v>743</v>
      </c>
      <c r="D498" t="s">
        <v>15</v>
      </c>
      <c r="F498" t="s">
        <v>1599</v>
      </c>
      <c r="G498" t="s">
        <v>1606</v>
      </c>
      <c r="H498" s="5">
        <v>101</v>
      </c>
      <c r="J498">
        <v>60</v>
      </c>
      <c r="P498" s="6">
        <v>46</v>
      </c>
    </row>
    <row r="499" spans="1:16" x14ac:dyDescent="0.3">
      <c r="A499" s="6">
        <v>492</v>
      </c>
      <c r="B499" t="s">
        <v>736</v>
      </c>
      <c r="C499" s="2" t="s">
        <v>744</v>
      </c>
      <c r="D499" t="s">
        <v>15</v>
      </c>
      <c r="F499" t="s">
        <v>1599</v>
      </c>
      <c r="G499" t="s">
        <v>1606</v>
      </c>
      <c r="H499" s="5">
        <v>116</v>
      </c>
      <c r="J499">
        <v>90</v>
      </c>
      <c r="P499" s="6">
        <v>60</v>
      </c>
    </row>
    <row r="500" spans="1:16" x14ac:dyDescent="0.3">
      <c r="A500" s="6">
        <v>493</v>
      </c>
      <c r="B500" t="s">
        <v>745</v>
      </c>
      <c r="C500" s="2">
        <v>456</v>
      </c>
      <c r="D500" t="s">
        <v>15</v>
      </c>
      <c r="F500" t="s">
        <v>1599</v>
      </c>
      <c r="G500" t="s">
        <v>1606</v>
      </c>
      <c r="H500" s="5">
        <v>70</v>
      </c>
      <c r="J500">
        <v>165</v>
      </c>
      <c r="P500" s="6">
        <v>130</v>
      </c>
    </row>
    <row r="501" spans="1:16" x14ac:dyDescent="0.3">
      <c r="A501" s="6">
        <v>494</v>
      </c>
      <c r="B501" t="s">
        <v>746</v>
      </c>
      <c r="C501" s="2" t="s">
        <v>747</v>
      </c>
      <c r="D501" t="s">
        <v>15</v>
      </c>
      <c r="F501" t="s">
        <v>1599</v>
      </c>
      <c r="G501" t="s">
        <v>1606</v>
      </c>
      <c r="H501" s="5">
        <v>27</v>
      </c>
      <c r="J501">
        <v>190</v>
      </c>
      <c r="P501" s="6">
        <v>145</v>
      </c>
    </row>
    <row r="502" spans="1:16" x14ac:dyDescent="0.3">
      <c r="A502" s="6">
        <v>495</v>
      </c>
      <c r="B502" t="s">
        <v>745</v>
      </c>
      <c r="C502" s="2" t="s">
        <v>748</v>
      </c>
      <c r="D502" t="s">
        <v>15</v>
      </c>
      <c r="F502" t="s">
        <v>1599</v>
      </c>
      <c r="G502" t="s">
        <v>1606</v>
      </c>
      <c r="H502" s="5">
        <v>18</v>
      </c>
      <c r="J502">
        <v>165</v>
      </c>
      <c r="P502" s="6">
        <v>128</v>
      </c>
    </row>
    <row r="503" spans="1:16" x14ac:dyDescent="0.3">
      <c r="A503" s="6">
        <v>496</v>
      </c>
      <c r="B503" t="s">
        <v>749</v>
      </c>
      <c r="C503" s="2" t="s">
        <v>750</v>
      </c>
      <c r="D503" t="s">
        <v>15</v>
      </c>
      <c r="F503" t="s">
        <v>1599</v>
      </c>
      <c r="G503" t="s">
        <v>1606</v>
      </c>
      <c r="H503" s="5">
        <v>18</v>
      </c>
      <c r="J503">
        <v>230</v>
      </c>
      <c r="P503" s="6">
        <v>185</v>
      </c>
    </row>
    <row r="504" spans="1:16" x14ac:dyDescent="0.3">
      <c r="A504" s="6">
        <v>497</v>
      </c>
      <c r="B504" t="s">
        <v>749</v>
      </c>
      <c r="C504" s="2" t="s">
        <v>751</v>
      </c>
      <c r="D504" t="s">
        <v>15</v>
      </c>
      <c r="F504" t="s">
        <v>1599</v>
      </c>
      <c r="G504" t="s">
        <v>1606</v>
      </c>
      <c r="H504" s="5">
        <v>5</v>
      </c>
      <c r="J504">
        <v>230</v>
      </c>
      <c r="P504" s="6">
        <v>185</v>
      </c>
    </row>
    <row r="505" spans="1:16" x14ac:dyDescent="0.3">
      <c r="A505" s="6">
        <v>498</v>
      </c>
      <c r="B505" t="s">
        <v>749</v>
      </c>
      <c r="C505" s="2" t="s">
        <v>752</v>
      </c>
      <c r="D505" t="s">
        <v>15</v>
      </c>
      <c r="F505" t="s">
        <v>1599</v>
      </c>
      <c r="G505" t="s">
        <v>1606</v>
      </c>
      <c r="H505" s="5">
        <v>11</v>
      </c>
      <c r="J505">
        <v>230</v>
      </c>
      <c r="P505" s="6">
        <v>185</v>
      </c>
    </row>
    <row r="506" spans="1:16" x14ac:dyDescent="0.3">
      <c r="A506" s="6">
        <v>499</v>
      </c>
      <c r="B506" t="s">
        <v>749</v>
      </c>
      <c r="C506" s="2" t="s">
        <v>753</v>
      </c>
      <c r="D506" t="s">
        <v>15</v>
      </c>
      <c r="F506" t="s">
        <v>1599</v>
      </c>
      <c r="G506" t="s">
        <v>1606</v>
      </c>
      <c r="H506" s="5">
        <v>12</v>
      </c>
      <c r="J506">
        <v>230</v>
      </c>
      <c r="P506" s="6">
        <v>185</v>
      </c>
    </row>
    <row r="507" spans="1:16" x14ac:dyDescent="0.3">
      <c r="A507" s="6">
        <v>500</v>
      </c>
      <c r="B507" t="s">
        <v>754</v>
      </c>
      <c r="C507" s="2" t="s">
        <v>755</v>
      </c>
      <c r="D507" t="s">
        <v>15</v>
      </c>
      <c r="F507" t="s">
        <v>1599</v>
      </c>
      <c r="G507" t="s">
        <v>1606</v>
      </c>
      <c r="H507" s="5">
        <v>38</v>
      </c>
      <c r="J507">
        <v>140</v>
      </c>
      <c r="P507" s="6">
        <v>115</v>
      </c>
    </row>
    <row r="508" spans="1:16" x14ac:dyDescent="0.3">
      <c r="A508" s="6">
        <v>501</v>
      </c>
      <c r="B508" t="s">
        <v>745</v>
      </c>
      <c r="C508" s="2" t="s">
        <v>756</v>
      </c>
      <c r="D508" t="s">
        <v>15</v>
      </c>
      <c r="F508" t="s">
        <v>1599</v>
      </c>
      <c r="G508" t="s">
        <v>1606</v>
      </c>
      <c r="H508" s="5">
        <v>23</v>
      </c>
      <c r="J508">
        <v>140</v>
      </c>
      <c r="P508" s="6">
        <v>115</v>
      </c>
    </row>
    <row r="509" spans="1:16" x14ac:dyDescent="0.3">
      <c r="A509" s="6">
        <v>502</v>
      </c>
      <c r="B509" t="s">
        <v>757</v>
      </c>
      <c r="C509" s="2" t="s">
        <v>758</v>
      </c>
      <c r="D509" t="s">
        <v>15</v>
      </c>
      <c r="F509" t="s">
        <v>1599</v>
      </c>
      <c r="G509" t="s">
        <v>1606</v>
      </c>
      <c r="H509" s="5">
        <v>21</v>
      </c>
      <c r="J509">
        <v>140</v>
      </c>
      <c r="P509" s="6">
        <v>115</v>
      </c>
    </row>
    <row r="510" spans="1:16" x14ac:dyDescent="0.3">
      <c r="A510" s="6">
        <v>503</v>
      </c>
      <c r="B510" t="s">
        <v>759</v>
      </c>
      <c r="C510" s="2">
        <v>7004</v>
      </c>
      <c r="D510" t="s">
        <v>15</v>
      </c>
      <c r="F510" t="s">
        <v>1599</v>
      </c>
      <c r="G510" t="s">
        <v>1606</v>
      </c>
      <c r="H510" s="5">
        <v>36</v>
      </c>
      <c r="J510">
        <v>140</v>
      </c>
      <c r="P510" s="6">
        <v>115</v>
      </c>
    </row>
    <row r="511" spans="1:16" x14ac:dyDescent="0.3">
      <c r="A511" s="6">
        <v>504</v>
      </c>
      <c r="B511" t="s">
        <v>760</v>
      </c>
      <c r="C511" s="2" t="s">
        <v>761</v>
      </c>
      <c r="D511" t="s">
        <v>15</v>
      </c>
      <c r="F511" t="s">
        <v>1599</v>
      </c>
      <c r="G511" t="s">
        <v>1606</v>
      </c>
      <c r="H511" s="5">
        <v>24</v>
      </c>
      <c r="J511">
        <v>175</v>
      </c>
      <c r="P511" s="6">
        <v>145</v>
      </c>
    </row>
    <row r="512" spans="1:16" x14ac:dyDescent="0.3">
      <c r="A512" s="6">
        <v>505</v>
      </c>
      <c r="B512" t="s">
        <v>762</v>
      </c>
      <c r="C512" s="2" t="s">
        <v>763</v>
      </c>
      <c r="D512" t="s">
        <v>15</v>
      </c>
      <c r="F512" t="s">
        <v>1599</v>
      </c>
      <c r="G512" t="s">
        <v>1606</v>
      </c>
      <c r="H512" s="5">
        <v>37</v>
      </c>
      <c r="J512">
        <v>225</v>
      </c>
      <c r="P512" s="6">
        <v>155</v>
      </c>
    </row>
    <row r="513" spans="1:16" x14ac:dyDescent="0.3">
      <c r="A513" s="6">
        <v>506</v>
      </c>
      <c r="B513" t="s">
        <v>765</v>
      </c>
      <c r="C513" s="2" t="s">
        <v>764</v>
      </c>
      <c r="D513" t="s">
        <v>15</v>
      </c>
      <c r="F513" t="s">
        <v>1599</v>
      </c>
      <c r="G513" t="s">
        <v>1606</v>
      </c>
      <c r="H513" s="5">
        <f>216+14+1</f>
        <v>231</v>
      </c>
      <c r="J513">
        <v>45</v>
      </c>
      <c r="P513" s="6">
        <v>31</v>
      </c>
    </row>
    <row r="514" spans="1:16" x14ac:dyDescent="0.3">
      <c r="A514" s="6">
        <v>507</v>
      </c>
      <c r="B514" t="s">
        <v>767</v>
      </c>
      <c r="C514" s="2">
        <v>608</v>
      </c>
      <c r="D514" t="s">
        <v>15</v>
      </c>
      <c r="F514" t="s">
        <v>1599</v>
      </c>
      <c r="G514" t="s">
        <v>1606</v>
      </c>
      <c r="H514" s="5">
        <f>90+7</f>
        <v>97</v>
      </c>
      <c r="J514">
        <v>85</v>
      </c>
      <c r="P514" s="6">
        <v>67</v>
      </c>
    </row>
    <row r="515" spans="1:16" x14ac:dyDescent="0.3">
      <c r="A515" s="6">
        <v>508</v>
      </c>
      <c r="B515" t="s">
        <v>767</v>
      </c>
      <c r="C515" s="2">
        <v>609</v>
      </c>
      <c r="D515" t="s">
        <v>15</v>
      </c>
      <c r="F515" t="s">
        <v>1599</v>
      </c>
      <c r="G515" t="s">
        <v>1606</v>
      </c>
      <c r="H515" s="5">
        <f>90+29</f>
        <v>119</v>
      </c>
      <c r="J515">
        <v>85</v>
      </c>
      <c r="P515" s="6">
        <v>67</v>
      </c>
    </row>
    <row r="516" spans="1:16" x14ac:dyDescent="0.3">
      <c r="A516" s="6">
        <v>509</v>
      </c>
      <c r="B516" t="s">
        <v>768</v>
      </c>
      <c r="C516" s="2" t="s">
        <v>769</v>
      </c>
      <c r="D516" t="s">
        <v>15</v>
      </c>
      <c r="F516" t="s">
        <v>1599</v>
      </c>
      <c r="G516" t="s">
        <v>1606</v>
      </c>
      <c r="H516" s="5">
        <v>56</v>
      </c>
      <c r="J516">
        <v>85</v>
      </c>
      <c r="P516" s="6">
        <v>70</v>
      </c>
    </row>
    <row r="517" spans="1:16" x14ac:dyDescent="0.3">
      <c r="A517" s="6">
        <v>510</v>
      </c>
      <c r="B517" t="s">
        <v>770</v>
      </c>
      <c r="C517" s="2">
        <v>8103</v>
      </c>
      <c r="D517" t="s">
        <v>15</v>
      </c>
      <c r="F517" t="s">
        <v>1599</v>
      </c>
      <c r="G517" t="s">
        <v>1606</v>
      </c>
      <c r="H517" s="5">
        <v>5</v>
      </c>
      <c r="J517">
        <v>110</v>
      </c>
      <c r="P517" s="6">
        <v>85</v>
      </c>
    </row>
    <row r="518" spans="1:16" x14ac:dyDescent="0.3">
      <c r="A518" s="6">
        <v>511</v>
      </c>
      <c r="B518" t="s">
        <v>771</v>
      </c>
      <c r="D518" t="s">
        <v>208</v>
      </c>
      <c r="F518" t="s">
        <v>1599</v>
      </c>
      <c r="G518" t="s">
        <v>1606</v>
      </c>
      <c r="H518" s="5">
        <f>21+19</f>
        <v>40</v>
      </c>
      <c r="J518">
        <v>175</v>
      </c>
      <c r="P518" s="6">
        <v>135</v>
      </c>
    </row>
    <row r="519" spans="1:16" x14ac:dyDescent="0.3">
      <c r="A519" s="6">
        <v>512</v>
      </c>
      <c r="B519" t="s">
        <v>772</v>
      </c>
      <c r="D519" t="s">
        <v>15</v>
      </c>
      <c r="F519" t="s">
        <v>1599</v>
      </c>
      <c r="G519" t="s">
        <v>1606</v>
      </c>
      <c r="H519" s="5">
        <v>82</v>
      </c>
      <c r="J519">
        <v>55</v>
      </c>
      <c r="P519" s="6">
        <v>43</v>
      </c>
    </row>
    <row r="520" spans="1:16" x14ac:dyDescent="0.3">
      <c r="A520" s="6">
        <v>513</v>
      </c>
      <c r="B520" t="s">
        <v>773</v>
      </c>
      <c r="C520" s="2">
        <v>9670</v>
      </c>
      <c r="D520" t="s">
        <v>15</v>
      </c>
      <c r="F520" t="s">
        <v>1599</v>
      </c>
      <c r="G520" t="s">
        <v>1606</v>
      </c>
      <c r="H520" s="5">
        <v>65</v>
      </c>
      <c r="J520">
        <v>75</v>
      </c>
      <c r="P520" s="6">
        <v>60</v>
      </c>
    </row>
    <row r="521" spans="1:16" x14ac:dyDescent="0.3">
      <c r="A521" s="6">
        <v>514</v>
      </c>
      <c r="B521" t="s">
        <v>774</v>
      </c>
      <c r="C521" s="2" t="s">
        <v>775</v>
      </c>
      <c r="D521" t="s">
        <v>15</v>
      </c>
      <c r="F521" t="s">
        <v>1599</v>
      </c>
      <c r="G521" t="s">
        <v>1606</v>
      </c>
      <c r="H521" s="5">
        <v>70</v>
      </c>
      <c r="J521">
        <v>100</v>
      </c>
      <c r="P521" s="6">
        <v>80</v>
      </c>
    </row>
    <row r="522" spans="1:16" x14ac:dyDescent="0.3">
      <c r="A522" s="6">
        <v>515</v>
      </c>
      <c r="B522" t="s">
        <v>776</v>
      </c>
      <c r="C522" s="2" t="s">
        <v>777</v>
      </c>
      <c r="D522" t="s">
        <v>15</v>
      </c>
      <c r="F522" t="s">
        <v>1599</v>
      </c>
      <c r="G522" t="s">
        <v>1606</v>
      </c>
      <c r="H522" s="5">
        <v>32</v>
      </c>
      <c r="J522">
        <v>60</v>
      </c>
      <c r="P522" s="6">
        <v>48</v>
      </c>
    </row>
    <row r="523" spans="1:16" x14ac:dyDescent="0.3">
      <c r="A523" s="6">
        <v>516</v>
      </c>
      <c r="B523" t="s">
        <v>778</v>
      </c>
      <c r="C523" s="2">
        <v>211</v>
      </c>
      <c r="D523" t="s">
        <v>15</v>
      </c>
      <c r="F523" t="s">
        <v>1599</v>
      </c>
      <c r="G523" t="s">
        <v>1606</v>
      </c>
      <c r="H523" s="5">
        <v>89</v>
      </c>
      <c r="J523">
        <v>45</v>
      </c>
      <c r="P523" s="6">
        <v>35</v>
      </c>
    </row>
    <row r="524" spans="1:16" x14ac:dyDescent="0.3">
      <c r="A524" s="6">
        <v>517</v>
      </c>
      <c r="B524" t="s">
        <v>779</v>
      </c>
      <c r="D524" t="s">
        <v>15</v>
      </c>
      <c r="F524" t="s">
        <v>1599</v>
      </c>
      <c r="G524" t="s">
        <v>1606</v>
      </c>
      <c r="H524" s="5">
        <v>10</v>
      </c>
      <c r="J524">
        <v>100</v>
      </c>
      <c r="P524" s="6">
        <v>81</v>
      </c>
    </row>
    <row r="525" spans="1:16" x14ac:dyDescent="0.3">
      <c r="A525" s="6">
        <v>518</v>
      </c>
      <c r="B525" t="s">
        <v>780</v>
      </c>
      <c r="D525" t="s">
        <v>15</v>
      </c>
      <c r="F525" t="s">
        <v>1599</v>
      </c>
      <c r="G525" t="s">
        <v>1606</v>
      </c>
      <c r="H525" s="5">
        <v>24</v>
      </c>
      <c r="J525">
        <v>70</v>
      </c>
      <c r="P525" s="6">
        <v>55</v>
      </c>
    </row>
    <row r="526" spans="1:16" x14ac:dyDescent="0.3">
      <c r="A526" s="6">
        <v>519</v>
      </c>
      <c r="B526" t="s">
        <v>781</v>
      </c>
      <c r="D526" t="s">
        <v>15</v>
      </c>
      <c r="F526" t="s">
        <v>1599</v>
      </c>
      <c r="G526" t="s">
        <v>1606</v>
      </c>
      <c r="H526" s="5">
        <v>11</v>
      </c>
      <c r="J526">
        <v>130</v>
      </c>
      <c r="P526" s="6">
        <v>105</v>
      </c>
    </row>
    <row r="527" spans="1:16" x14ac:dyDescent="0.3">
      <c r="A527" s="6">
        <v>520</v>
      </c>
      <c r="B527" t="s">
        <v>782</v>
      </c>
      <c r="D527" t="s">
        <v>15</v>
      </c>
      <c r="F527" t="s">
        <v>1599</v>
      </c>
      <c r="G527" t="s">
        <v>1606</v>
      </c>
      <c r="H527" s="5">
        <v>13</v>
      </c>
      <c r="J527">
        <v>100</v>
      </c>
      <c r="P527" s="6">
        <v>85</v>
      </c>
    </row>
    <row r="528" spans="1:16" x14ac:dyDescent="0.3">
      <c r="A528" s="6">
        <v>521</v>
      </c>
      <c r="B528" t="s">
        <v>783</v>
      </c>
      <c r="C528" s="2" t="s">
        <v>784</v>
      </c>
      <c r="D528" t="s">
        <v>15</v>
      </c>
      <c r="F528" t="s">
        <v>1599</v>
      </c>
      <c r="G528" t="s">
        <v>1606</v>
      </c>
      <c r="H528" s="5">
        <v>11</v>
      </c>
      <c r="J528">
        <v>195</v>
      </c>
      <c r="P528" s="6">
        <v>155</v>
      </c>
    </row>
    <row r="529" spans="1:16" x14ac:dyDescent="0.3">
      <c r="A529" s="6">
        <v>522</v>
      </c>
      <c r="B529" t="s">
        <v>785</v>
      </c>
      <c r="C529" s="2">
        <v>8187</v>
      </c>
      <c r="D529" t="s">
        <v>15</v>
      </c>
      <c r="F529" t="s">
        <v>1599</v>
      </c>
      <c r="G529" t="s">
        <v>1606</v>
      </c>
      <c r="H529" s="5">
        <v>13</v>
      </c>
      <c r="J529">
        <v>150</v>
      </c>
      <c r="P529" s="6">
        <v>106</v>
      </c>
    </row>
    <row r="530" spans="1:16" x14ac:dyDescent="0.3">
      <c r="A530" s="6">
        <v>523</v>
      </c>
      <c r="B530" t="s">
        <v>786</v>
      </c>
      <c r="D530" t="s">
        <v>15</v>
      </c>
      <c r="F530" t="s">
        <v>1599</v>
      </c>
      <c r="G530" t="s">
        <v>1606</v>
      </c>
      <c r="H530" s="5">
        <v>3</v>
      </c>
      <c r="J530">
        <v>120</v>
      </c>
      <c r="P530" s="6">
        <v>95</v>
      </c>
    </row>
    <row r="531" spans="1:16" x14ac:dyDescent="0.3">
      <c r="A531" s="6">
        <v>524</v>
      </c>
      <c r="B531" t="s">
        <v>787</v>
      </c>
      <c r="C531" s="2" t="s">
        <v>788</v>
      </c>
      <c r="D531" t="s">
        <v>15</v>
      </c>
      <c r="F531" t="s">
        <v>1599</v>
      </c>
      <c r="G531" t="s">
        <v>1606</v>
      </c>
      <c r="H531" s="5">
        <v>41</v>
      </c>
      <c r="J531">
        <v>120</v>
      </c>
      <c r="P531" s="6">
        <v>95</v>
      </c>
    </row>
    <row r="532" spans="1:16" x14ac:dyDescent="0.3">
      <c r="A532" s="6">
        <v>525</v>
      </c>
      <c r="B532" t="s">
        <v>789</v>
      </c>
      <c r="C532" s="2" t="s">
        <v>790</v>
      </c>
      <c r="D532" t="s">
        <v>15</v>
      </c>
      <c r="F532" t="s">
        <v>1599</v>
      </c>
      <c r="G532" t="s">
        <v>1606</v>
      </c>
      <c r="H532" s="5">
        <v>72</v>
      </c>
      <c r="J532">
        <v>50</v>
      </c>
      <c r="P532" s="6">
        <v>24</v>
      </c>
    </row>
    <row r="533" spans="1:16" x14ac:dyDescent="0.3">
      <c r="A533" s="6">
        <v>526</v>
      </c>
      <c r="B533" t="s">
        <v>791</v>
      </c>
      <c r="C533" s="2" t="s">
        <v>792</v>
      </c>
      <c r="D533" t="s">
        <v>15</v>
      </c>
      <c r="F533" t="s">
        <v>1599</v>
      </c>
      <c r="G533" t="s">
        <v>1606</v>
      </c>
      <c r="H533" s="5">
        <v>184</v>
      </c>
      <c r="J533">
        <v>90</v>
      </c>
      <c r="P533" s="6">
        <v>60</v>
      </c>
    </row>
    <row r="534" spans="1:16" x14ac:dyDescent="0.3">
      <c r="A534" s="6">
        <v>527</v>
      </c>
      <c r="B534" t="s">
        <v>793</v>
      </c>
      <c r="C534" s="2" t="s">
        <v>794</v>
      </c>
      <c r="D534" t="s">
        <v>18</v>
      </c>
      <c r="F534" t="s">
        <v>1599</v>
      </c>
      <c r="G534" t="s">
        <v>1606</v>
      </c>
      <c r="H534" s="5">
        <v>41</v>
      </c>
      <c r="J534">
        <v>300</v>
      </c>
      <c r="P534" s="6">
        <v>175</v>
      </c>
    </row>
    <row r="535" spans="1:16" x14ac:dyDescent="0.3">
      <c r="A535" s="6">
        <v>528</v>
      </c>
      <c r="B535" t="s">
        <v>795</v>
      </c>
      <c r="C535" s="2" t="s">
        <v>796</v>
      </c>
      <c r="D535" t="s">
        <v>15</v>
      </c>
      <c r="F535" t="s">
        <v>1599</v>
      </c>
      <c r="G535" t="s">
        <v>1606</v>
      </c>
      <c r="H535" s="5">
        <v>81</v>
      </c>
      <c r="J535">
        <v>85</v>
      </c>
      <c r="P535" s="6">
        <v>68</v>
      </c>
    </row>
    <row r="536" spans="1:16" x14ac:dyDescent="0.3">
      <c r="A536" s="6">
        <v>529</v>
      </c>
      <c r="B536" t="s">
        <v>797</v>
      </c>
      <c r="C536" s="2">
        <v>180</v>
      </c>
      <c r="D536" t="s">
        <v>15</v>
      </c>
      <c r="F536" t="s">
        <v>1599</v>
      </c>
      <c r="G536" t="s">
        <v>1606</v>
      </c>
      <c r="H536" s="5">
        <v>28</v>
      </c>
      <c r="J536">
        <v>70</v>
      </c>
      <c r="P536" s="6">
        <v>55</v>
      </c>
    </row>
    <row r="537" spans="1:16" x14ac:dyDescent="0.3">
      <c r="A537" s="6">
        <v>530</v>
      </c>
      <c r="B537" t="s">
        <v>707</v>
      </c>
      <c r="C537" s="7" t="s">
        <v>798</v>
      </c>
      <c r="D537" t="s">
        <v>15</v>
      </c>
      <c r="F537" t="s">
        <v>1599</v>
      </c>
      <c r="G537" t="s">
        <v>1606</v>
      </c>
      <c r="H537" s="5">
        <v>15</v>
      </c>
      <c r="J537">
        <v>150</v>
      </c>
      <c r="P537" s="6">
        <v>105</v>
      </c>
    </row>
    <row r="538" spans="1:16" x14ac:dyDescent="0.3">
      <c r="A538" s="6">
        <v>531</v>
      </c>
      <c r="B538" t="s">
        <v>800</v>
      </c>
      <c r="C538" s="2" t="s">
        <v>799</v>
      </c>
      <c r="D538" t="s">
        <v>15</v>
      </c>
      <c r="F538" t="s">
        <v>1599</v>
      </c>
      <c r="G538" t="s">
        <v>1606</v>
      </c>
      <c r="H538" s="5">
        <v>10</v>
      </c>
      <c r="J538">
        <v>75</v>
      </c>
      <c r="P538" s="6">
        <v>58</v>
      </c>
    </row>
    <row r="539" spans="1:16" x14ac:dyDescent="0.3">
      <c r="A539" s="6">
        <v>532</v>
      </c>
      <c r="B539" t="s">
        <v>801</v>
      </c>
      <c r="C539" s="2">
        <v>2581</v>
      </c>
      <c r="D539" t="s">
        <v>15</v>
      </c>
      <c r="F539" t="s">
        <v>1599</v>
      </c>
      <c r="G539" t="s">
        <v>1606</v>
      </c>
      <c r="H539" s="5">
        <v>27</v>
      </c>
      <c r="J539">
        <v>65</v>
      </c>
      <c r="P539" s="6">
        <v>53</v>
      </c>
    </row>
    <row r="540" spans="1:16" x14ac:dyDescent="0.3">
      <c r="A540" s="6">
        <v>533</v>
      </c>
      <c r="B540" t="s">
        <v>802</v>
      </c>
      <c r="C540" s="2" t="s">
        <v>803</v>
      </c>
      <c r="D540" t="s">
        <v>15</v>
      </c>
      <c r="F540" t="s">
        <v>1599</v>
      </c>
      <c r="G540" t="s">
        <v>1606</v>
      </c>
      <c r="H540" s="5">
        <v>10</v>
      </c>
      <c r="J540">
        <v>65</v>
      </c>
      <c r="P540" s="6">
        <v>52</v>
      </c>
    </row>
    <row r="541" spans="1:16" x14ac:dyDescent="0.3">
      <c r="A541" s="6">
        <v>534</v>
      </c>
      <c r="B541" t="s">
        <v>488</v>
      </c>
      <c r="C541" s="2" t="s">
        <v>804</v>
      </c>
      <c r="D541" t="s">
        <v>15</v>
      </c>
      <c r="F541" t="s">
        <v>1599</v>
      </c>
      <c r="G541" t="s">
        <v>1606</v>
      </c>
      <c r="H541" s="5">
        <v>111</v>
      </c>
      <c r="J541">
        <v>40</v>
      </c>
      <c r="P541" s="6">
        <v>30</v>
      </c>
    </row>
    <row r="542" spans="1:16" x14ac:dyDescent="0.3">
      <c r="A542" s="6">
        <v>535</v>
      </c>
      <c r="B542" t="s">
        <v>805</v>
      </c>
      <c r="C542" s="2">
        <v>1121</v>
      </c>
      <c r="D542" t="s">
        <v>15</v>
      </c>
      <c r="F542" t="s">
        <v>1599</v>
      </c>
      <c r="G542" t="s">
        <v>1606</v>
      </c>
      <c r="H542" s="5">
        <v>20</v>
      </c>
      <c r="J542">
        <v>35</v>
      </c>
      <c r="P542" s="6">
        <v>27</v>
      </c>
    </row>
    <row r="543" spans="1:16" x14ac:dyDescent="0.3">
      <c r="A543" s="6">
        <v>536</v>
      </c>
      <c r="B543" t="s">
        <v>806</v>
      </c>
      <c r="C543" s="2">
        <v>6611</v>
      </c>
      <c r="D543" t="s">
        <v>15</v>
      </c>
      <c r="F543" t="s">
        <v>1599</v>
      </c>
      <c r="G543" t="s">
        <v>1606</v>
      </c>
      <c r="H543" s="5">
        <v>31</v>
      </c>
      <c r="J543">
        <v>50</v>
      </c>
      <c r="P543" s="6">
        <v>38</v>
      </c>
    </row>
    <row r="544" spans="1:16" x14ac:dyDescent="0.3">
      <c r="A544" s="6">
        <v>537</v>
      </c>
      <c r="B544" t="s">
        <v>807</v>
      </c>
      <c r="C544" s="2" t="s">
        <v>808</v>
      </c>
      <c r="D544" t="s">
        <v>15</v>
      </c>
      <c r="F544" t="s">
        <v>1599</v>
      </c>
      <c r="G544" t="s">
        <v>1606</v>
      </c>
      <c r="H544" s="5">
        <v>17</v>
      </c>
      <c r="J544">
        <v>60</v>
      </c>
      <c r="P544" s="6">
        <v>45</v>
      </c>
    </row>
    <row r="545" spans="1:16" x14ac:dyDescent="0.3">
      <c r="A545" s="6">
        <v>538</v>
      </c>
      <c r="B545" t="s">
        <v>809</v>
      </c>
      <c r="C545" s="2">
        <v>1418</v>
      </c>
      <c r="D545" t="s">
        <v>15</v>
      </c>
      <c r="F545" t="s">
        <v>1599</v>
      </c>
      <c r="G545" t="s">
        <v>1606</v>
      </c>
      <c r="H545" s="5">
        <v>33</v>
      </c>
      <c r="J545">
        <v>45</v>
      </c>
      <c r="P545" s="6">
        <v>35</v>
      </c>
    </row>
    <row r="546" spans="1:16" x14ac:dyDescent="0.3">
      <c r="A546" s="6">
        <v>539</v>
      </c>
      <c r="B546" t="s">
        <v>705</v>
      </c>
      <c r="C546" s="2" t="s">
        <v>810</v>
      </c>
      <c r="D546" t="s">
        <v>15</v>
      </c>
      <c r="F546" t="s">
        <v>1599</v>
      </c>
      <c r="G546" t="s">
        <v>1606</v>
      </c>
      <c r="H546" s="5">
        <v>3</v>
      </c>
      <c r="J546">
        <v>75</v>
      </c>
      <c r="P546" s="6">
        <v>60</v>
      </c>
    </row>
    <row r="547" spans="1:16" x14ac:dyDescent="0.3">
      <c r="A547" s="6">
        <v>540</v>
      </c>
      <c r="B547" t="s">
        <v>811</v>
      </c>
      <c r="C547" s="2" t="s">
        <v>812</v>
      </c>
      <c r="D547" t="s">
        <v>15</v>
      </c>
      <c r="F547" t="s">
        <v>1599</v>
      </c>
      <c r="G547" t="s">
        <v>1606</v>
      </c>
      <c r="H547" s="5">
        <v>40</v>
      </c>
      <c r="J547">
        <v>100</v>
      </c>
      <c r="P547" s="6">
        <v>80</v>
      </c>
    </row>
    <row r="548" spans="1:16" x14ac:dyDescent="0.3">
      <c r="A548" s="6">
        <v>541</v>
      </c>
      <c r="B548" t="s">
        <v>699</v>
      </c>
      <c r="C548" s="2">
        <v>3325</v>
      </c>
      <c r="D548" t="s">
        <v>15</v>
      </c>
      <c r="F548" t="s">
        <v>1599</v>
      </c>
      <c r="G548" t="s">
        <v>1606</v>
      </c>
      <c r="H548" s="5">
        <v>29</v>
      </c>
      <c r="J548">
        <v>45</v>
      </c>
      <c r="P548" s="6">
        <v>36</v>
      </c>
    </row>
    <row r="549" spans="1:16" x14ac:dyDescent="0.3">
      <c r="A549" s="6">
        <v>542</v>
      </c>
      <c r="B549" t="s">
        <v>93</v>
      </c>
      <c r="C549" s="2" t="s">
        <v>813</v>
      </c>
      <c r="D549" t="s">
        <v>15</v>
      </c>
      <c r="F549" t="s">
        <v>1599</v>
      </c>
      <c r="G549" t="s">
        <v>1606</v>
      </c>
      <c r="H549" s="5">
        <v>13</v>
      </c>
      <c r="J549">
        <v>120</v>
      </c>
      <c r="P549" s="6">
        <v>98</v>
      </c>
    </row>
    <row r="550" spans="1:16" x14ac:dyDescent="0.3">
      <c r="A550" s="6">
        <v>543</v>
      </c>
      <c r="B550" t="s">
        <v>805</v>
      </c>
      <c r="C550" s="2" t="s">
        <v>814</v>
      </c>
      <c r="D550" t="s">
        <v>15</v>
      </c>
      <c r="F550" t="s">
        <v>1599</v>
      </c>
      <c r="G550" t="s">
        <v>1606</v>
      </c>
      <c r="H550" s="5">
        <v>17</v>
      </c>
      <c r="J550">
        <v>100</v>
      </c>
      <c r="P550" s="6">
        <v>80</v>
      </c>
    </row>
    <row r="551" spans="1:16" x14ac:dyDescent="0.3">
      <c r="A551" s="6">
        <v>544</v>
      </c>
      <c r="B551" t="s">
        <v>815</v>
      </c>
      <c r="C551" s="2" t="s">
        <v>816</v>
      </c>
      <c r="D551" t="s">
        <v>15</v>
      </c>
      <c r="F551" t="s">
        <v>1599</v>
      </c>
      <c r="G551" t="s">
        <v>1606</v>
      </c>
      <c r="H551" s="5">
        <v>43</v>
      </c>
      <c r="J551">
        <v>60</v>
      </c>
      <c r="P551" s="6">
        <v>47</v>
      </c>
    </row>
    <row r="552" spans="1:16" x14ac:dyDescent="0.3">
      <c r="A552" s="6">
        <v>545</v>
      </c>
      <c r="B552" t="s">
        <v>817</v>
      </c>
      <c r="C552" s="2" t="s">
        <v>818</v>
      </c>
      <c r="D552" t="s">
        <v>15</v>
      </c>
      <c r="F552" t="s">
        <v>1599</v>
      </c>
      <c r="G552" t="s">
        <v>1606</v>
      </c>
      <c r="H552" s="5">
        <v>52</v>
      </c>
      <c r="J552">
        <v>100</v>
      </c>
      <c r="P552" s="6">
        <v>80</v>
      </c>
    </row>
    <row r="553" spans="1:16" x14ac:dyDescent="0.3">
      <c r="A553" s="6">
        <v>546</v>
      </c>
      <c r="B553" t="s">
        <v>819</v>
      </c>
      <c r="C553" s="2" t="s">
        <v>820</v>
      </c>
      <c r="D553" t="s">
        <v>15</v>
      </c>
      <c r="F553" t="s">
        <v>1599</v>
      </c>
      <c r="G553" t="s">
        <v>1606</v>
      </c>
      <c r="H553" s="5">
        <v>93</v>
      </c>
      <c r="J553">
        <v>78</v>
      </c>
      <c r="P553" s="6">
        <v>62</v>
      </c>
    </row>
    <row r="554" spans="1:16" x14ac:dyDescent="0.3">
      <c r="A554" s="6">
        <v>547</v>
      </c>
      <c r="B554" t="s">
        <v>821</v>
      </c>
      <c r="C554" s="2" t="s">
        <v>822</v>
      </c>
      <c r="D554" t="s">
        <v>15</v>
      </c>
      <c r="F554" t="s">
        <v>1599</v>
      </c>
      <c r="G554" t="s">
        <v>1606</v>
      </c>
      <c r="H554" s="5">
        <v>21</v>
      </c>
      <c r="J554">
        <v>85</v>
      </c>
      <c r="P554" s="6">
        <v>68</v>
      </c>
    </row>
    <row r="555" spans="1:16" x14ac:dyDescent="0.3">
      <c r="A555" s="6">
        <v>548</v>
      </c>
      <c r="B555" t="s">
        <v>488</v>
      </c>
      <c r="C555" s="2" t="s">
        <v>823</v>
      </c>
      <c r="D555" t="s">
        <v>15</v>
      </c>
      <c r="F555" t="s">
        <v>1599</v>
      </c>
      <c r="G555" t="s">
        <v>1606</v>
      </c>
      <c r="H555" s="5">
        <v>13</v>
      </c>
      <c r="J555">
        <v>70</v>
      </c>
      <c r="P555" s="6">
        <v>55</v>
      </c>
    </row>
    <row r="556" spans="1:16" x14ac:dyDescent="0.3">
      <c r="A556" s="6">
        <v>549</v>
      </c>
      <c r="B556" t="s">
        <v>824</v>
      </c>
      <c r="C556" s="2" t="s">
        <v>825</v>
      </c>
      <c r="D556" t="s">
        <v>15</v>
      </c>
      <c r="F556" t="s">
        <v>1599</v>
      </c>
      <c r="G556" t="s">
        <v>1606</v>
      </c>
      <c r="H556" s="5">
        <v>46</v>
      </c>
      <c r="J556">
        <v>90</v>
      </c>
      <c r="P556" s="6">
        <v>70</v>
      </c>
    </row>
    <row r="557" spans="1:16" x14ac:dyDescent="0.3">
      <c r="A557" s="6">
        <v>550</v>
      </c>
      <c r="B557" t="s">
        <v>488</v>
      </c>
      <c r="C557" s="2">
        <v>2062</v>
      </c>
      <c r="D557" t="s">
        <v>15</v>
      </c>
      <c r="F557" t="s">
        <v>1599</v>
      </c>
      <c r="G557" t="s">
        <v>1606</v>
      </c>
      <c r="H557" s="5">
        <v>12</v>
      </c>
      <c r="J557">
        <v>55</v>
      </c>
      <c r="P557" s="6">
        <v>43</v>
      </c>
    </row>
    <row r="558" spans="1:16" x14ac:dyDescent="0.3">
      <c r="A558" s="6">
        <v>551</v>
      </c>
      <c r="B558" t="s">
        <v>488</v>
      </c>
      <c r="C558" s="2">
        <v>2059</v>
      </c>
      <c r="D558" t="s">
        <v>15</v>
      </c>
      <c r="F558" t="s">
        <v>1599</v>
      </c>
      <c r="G558" t="s">
        <v>1606</v>
      </c>
      <c r="H558" s="5">
        <v>6</v>
      </c>
      <c r="J558">
        <v>80</v>
      </c>
      <c r="P558" s="6">
        <v>63</v>
      </c>
    </row>
    <row r="559" spans="1:16" x14ac:dyDescent="0.3">
      <c r="A559" s="6">
        <v>552</v>
      </c>
      <c r="B559" t="s">
        <v>488</v>
      </c>
      <c r="C559" s="2">
        <v>2075</v>
      </c>
      <c r="D559" t="s">
        <v>15</v>
      </c>
      <c r="F559" t="s">
        <v>1599</v>
      </c>
      <c r="G559" t="s">
        <v>1606</v>
      </c>
      <c r="H559" s="5">
        <v>16</v>
      </c>
      <c r="J559">
        <v>70</v>
      </c>
      <c r="P559" s="6">
        <v>55</v>
      </c>
    </row>
    <row r="560" spans="1:16" x14ac:dyDescent="0.3">
      <c r="A560" s="6">
        <v>553</v>
      </c>
      <c r="B560" t="s">
        <v>826</v>
      </c>
      <c r="C560" s="2" t="s">
        <v>827</v>
      </c>
      <c r="D560" t="s">
        <v>15</v>
      </c>
      <c r="F560" t="s">
        <v>1599</v>
      </c>
      <c r="G560" t="s">
        <v>1606</v>
      </c>
      <c r="H560" s="5">
        <v>28</v>
      </c>
      <c r="J560">
        <v>75</v>
      </c>
      <c r="P560" s="6">
        <v>70</v>
      </c>
    </row>
    <row r="561" spans="1:16" x14ac:dyDescent="0.3">
      <c r="A561" s="6">
        <v>554</v>
      </c>
      <c r="B561" t="s">
        <v>828</v>
      </c>
      <c r="C561" s="2">
        <v>33</v>
      </c>
      <c r="D561" t="s">
        <v>15</v>
      </c>
      <c r="F561" t="s">
        <v>1599</v>
      </c>
      <c r="G561" t="s">
        <v>1606</v>
      </c>
      <c r="H561" s="5">
        <v>17</v>
      </c>
      <c r="J561">
        <v>55</v>
      </c>
      <c r="P561" s="6">
        <v>44</v>
      </c>
    </row>
    <row r="562" spans="1:16" x14ac:dyDescent="0.3">
      <c r="A562" s="6">
        <v>555</v>
      </c>
      <c r="B562" t="s">
        <v>828</v>
      </c>
      <c r="C562" s="2" t="s">
        <v>829</v>
      </c>
      <c r="D562" t="s">
        <v>15</v>
      </c>
      <c r="F562" t="s">
        <v>1599</v>
      </c>
      <c r="G562" t="s">
        <v>1606</v>
      </c>
      <c r="H562" s="5">
        <v>33</v>
      </c>
      <c r="J562">
        <v>65</v>
      </c>
      <c r="P562" s="6">
        <v>51</v>
      </c>
    </row>
    <row r="563" spans="1:16" x14ac:dyDescent="0.3">
      <c r="A563" s="6">
        <v>556</v>
      </c>
      <c r="B563" t="s">
        <v>830</v>
      </c>
      <c r="C563" s="2" t="s">
        <v>831</v>
      </c>
      <c r="D563" t="s">
        <v>15</v>
      </c>
      <c r="F563" t="s">
        <v>1599</v>
      </c>
      <c r="G563" t="s">
        <v>1606</v>
      </c>
      <c r="H563" s="5">
        <v>32</v>
      </c>
      <c r="J563">
        <v>80</v>
      </c>
      <c r="P563" s="6">
        <v>63</v>
      </c>
    </row>
    <row r="564" spans="1:16" x14ac:dyDescent="0.3">
      <c r="A564" s="6">
        <v>557</v>
      </c>
      <c r="B564" t="s">
        <v>699</v>
      </c>
      <c r="C564" s="2">
        <v>9255</v>
      </c>
      <c r="D564" t="s">
        <v>15</v>
      </c>
      <c r="F564" t="s">
        <v>1599</v>
      </c>
      <c r="G564" t="s">
        <v>1606</v>
      </c>
      <c r="H564" s="5">
        <v>32</v>
      </c>
      <c r="J564">
        <v>130</v>
      </c>
      <c r="P564" s="6">
        <v>105</v>
      </c>
    </row>
    <row r="565" spans="1:16" x14ac:dyDescent="0.3">
      <c r="A565" s="6">
        <v>558</v>
      </c>
      <c r="B565" t="s">
        <v>699</v>
      </c>
      <c r="C565" s="2" t="s">
        <v>832</v>
      </c>
      <c r="D565" t="s">
        <v>15</v>
      </c>
      <c r="F565" t="s">
        <v>1599</v>
      </c>
      <c r="G565" t="s">
        <v>1606</v>
      </c>
      <c r="H565" s="5">
        <v>43</v>
      </c>
      <c r="J565">
        <v>75</v>
      </c>
      <c r="P565" s="6">
        <v>58</v>
      </c>
    </row>
    <row r="566" spans="1:16" x14ac:dyDescent="0.3">
      <c r="A566" s="6">
        <v>559</v>
      </c>
      <c r="B566" t="s">
        <v>833</v>
      </c>
      <c r="C566" s="2" t="s">
        <v>834</v>
      </c>
      <c r="D566" t="s">
        <v>15</v>
      </c>
      <c r="F566" t="s">
        <v>1599</v>
      </c>
      <c r="G566" t="s">
        <v>1606</v>
      </c>
      <c r="H566" s="5">
        <v>112</v>
      </c>
      <c r="J566">
        <v>50</v>
      </c>
      <c r="P566" s="6">
        <v>39</v>
      </c>
    </row>
    <row r="567" spans="1:16" x14ac:dyDescent="0.3">
      <c r="A567" s="6">
        <v>560</v>
      </c>
      <c r="B567" t="s">
        <v>262</v>
      </c>
      <c r="C567" s="2" t="s">
        <v>835</v>
      </c>
      <c r="D567" t="s">
        <v>15</v>
      </c>
      <c r="F567" t="s">
        <v>1599</v>
      </c>
      <c r="G567" t="s">
        <v>1606</v>
      </c>
      <c r="H567" s="5">
        <v>54</v>
      </c>
      <c r="J567">
        <v>60</v>
      </c>
      <c r="P567" s="6">
        <v>48</v>
      </c>
    </row>
    <row r="568" spans="1:16" x14ac:dyDescent="0.3">
      <c r="A568" s="6">
        <v>561</v>
      </c>
      <c r="B568" t="s">
        <v>699</v>
      </c>
      <c r="C568" s="2">
        <v>9288</v>
      </c>
      <c r="D568" t="s">
        <v>15</v>
      </c>
      <c r="F568" t="s">
        <v>1599</v>
      </c>
      <c r="G568" t="s">
        <v>1606</v>
      </c>
      <c r="H568" s="5">
        <v>35</v>
      </c>
      <c r="J568">
        <v>95</v>
      </c>
      <c r="P568" s="6">
        <v>73</v>
      </c>
    </row>
    <row r="569" spans="1:16" x14ac:dyDescent="0.3">
      <c r="A569" s="6">
        <v>562</v>
      </c>
      <c r="B569" t="s">
        <v>699</v>
      </c>
      <c r="C569" s="2" t="s">
        <v>836</v>
      </c>
      <c r="D569" t="s">
        <v>15</v>
      </c>
      <c r="F569" t="s">
        <v>1599</v>
      </c>
      <c r="G569" t="s">
        <v>1606</v>
      </c>
      <c r="H569" s="5">
        <v>48</v>
      </c>
      <c r="J569">
        <v>110</v>
      </c>
      <c r="P569" s="6">
        <v>85</v>
      </c>
    </row>
    <row r="570" spans="1:16" x14ac:dyDescent="0.3">
      <c r="A570" s="6">
        <v>563</v>
      </c>
      <c r="B570" t="s">
        <v>837</v>
      </c>
      <c r="C570" s="2" t="s">
        <v>838</v>
      </c>
      <c r="D570" t="s">
        <v>15</v>
      </c>
      <c r="F570" t="s">
        <v>1599</v>
      </c>
      <c r="G570" t="s">
        <v>1606</v>
      </c>
      <c r="H570" s="5">
        <v>24</v>
      </c>
      <c r="J570">
        <v>75</v>
      </c>
      <c r="P570" s="6">
        <v>60</v>
      </c>
    </row>
    <row r="571" spans="1:16" x14ac:dyDescent="0.3">
      <c r="A571" s="6">
        <v>564</v>
      </c>
      <c r="B571" t="s">
        <v>839</v>
      </c>
      <c r="C571" s="2">
        <v>1420</v>
      </c>
      <c r="D571" t="s">
        <v>15</v>
      </c>
      <c r="F571" t="s">
        <v>1599</v>
      </c>
      <c r="G571" t="s">
        <v>1606</v>
      </c>
      <c r="H571" s="5">
        <v>102</v>
      </c>
      <c r="J571">
        <v>55</v>
      </c>
      <c r="P571" s="6">
        <v>44</v>
      </c>
    </row>
    <row r="572" spans="1:16" x14ac:dyDescent="0.3">
      <c r="A572" s="6">
        <v>565</v>
      </c>
      <c r="B572" t="s">
        <v>840</v>
      </c>
      <c r="C572" s="2" t="s">
        <v>841</v>
      </c>
      <c r="D572" t="s">
        <v>15</v>
      </c>
      <c r="F572" t="s">
        <v>1599</v>
      </c>
      <c r="G572" t="s">
        <v>1606</v>
      </c>
      <c r="H572" s="5">
        <v>20</v>
      </c>
      <c r="J572">
        <v>75</v>
      </c>
      <c r="P572" s="6">
        <v>58</v>
      </c>
    </row>
    <row r="573" spans="1:16" x14ac:dyDescent="0.3">
      <c r="A573" s="6">
        <v>566</v>
      </c>
      <c r="B573" t="s">
        <v>842</v>
      </c>
      <c r="C573" s="2">
        <v>9695</v>
      </c>
      <c r="D573" t="s">
        <v>15</v>
      </c>
      <c r="F573" t="s">
        <v>1599</v>
      </c>
      <c r="G573" t="s">
        <v>1606</v>
      </c>
      <c r="H573" s="5">
        <v>27</v>
      </c>
      <c r="J573">
        <v>60</v>
      </c>
      <c r="P573" s="6">
        <v>47</v>
      </c>
    </row>
    <row r="574" spans="1:16" x14ac:dyDescent="0.3">
      <c r="A574" s="6">
        <v>567</v>
      </c>
      <c r="B574" t="s">
        <v>699</v>
      </c>
      <c r="C574" s="2" t="s">
        <v>843</v>
      </c>
      <c r="D574" t="s">
        <v>15</v>
      </c>
      <c r="F574" t="s">
        <v>1599</v>
      </c>
      <c r="G574" t="s">
        <v>1606</v>
      </c>
      <c r="H574" s="5">
        <v>41</v>
      </c>
      <c r="J574">
        <v>125</v>
      </c>
      <c r="P574" s="6">
        <v>100</v>
      </c>
    </row>
    <row r="575" spans="1:16" x14ac:dyDescent="0.3">
      <c r="A575" s="6">
        <v>568</v>
      </c>
      <c r="B575" t="s">
        <v>844</v>
      </c>
      <c r="C575" s="2" t="s">
        <v>845</v>
      </c>
      <c r="D575" t="s">
        <v>15</v>
      </c>
      <c r="F575" t="s">
        <v>1599</v>
      </c>
      <c r="G575" t="s">
        <v>1606</v>
      </c>
      <c r="H575" s="5">
        <v>9</v>
      </c>
      <c r="J575">
        <v>400</v>
      </c>
      <c r="P575" s="6">
        <v>285</v>
      </c>
    </row>
    <row r="576" spans="1:16" x14ac:dyDescent="0.3">
      <c r="A576" s="6">
        <v>569</v>
      </c>
      <c r="B576" t="s">
        <v>846</v>
      </c>
      <c r="C576" s="2" t="s">
        <v>847</v>
      </c>
      <c r="D576" t="s">
        <v>15</v>
      </c>
      <c r="F576" t="s">
        <v>1599</v>
      </c>
      <c r="G576" t="s">
        <v>1606</v>
      </c>
      <c r="H576" s="5">
        <v>20</v>
      </c>
      <c r="J576">
        <v>60</v>
      </c>
      <c r="P576" s="6">
        <v>40</v>
      </c>
    </row>
    <row r="577" spans="1:16" x14ac:dyDescent="0.3">
      <c r="A577" s="6">
        <v>570</v>
      </c>
      <c r="B577" t="s">
        <v>848</v>
      </c>
      <c r="C577" s="2" t="s">
        <v>849</v>
      </c>
      <c r="D577" t="s">
        <v>15</v>
      </c>
      <c r="F577" t="s">
        <v>1599</v>
      </c>
      <c r="G577" t="s">
        <v>1606</v>
      </c>
      <c r="H577" s="5">
        <v>51</v>
      </c>
      <c r="J577">
        <v>30</v>
      </c>
      <c r="P577" s="6">
        <v>20</v>
      </c>
    </row>
    <row r="578" spans="1:16" x14ac:dyDescent="0.3">
      <c r="A578" s="6">
        <v>571</v>
      </c>
      <c r="B578" t="s">
        <v>850</v>
      </c>
      <c r="C578" s="2" t="s">
        <v>851</v>
      </c>
      <c r="D578" t="s">
        <v>15</v>
      </c>
      <c r="F578" t="s">
        <v>1599</v>
      </c>
      <c r="G578" t="s">
        <v>1606</v>
      </c>
      <c r="H578" s="5">
        <v>65</v>
      </c>
      <c r="J578">
        <v>90</v>
      </c>
      <c r="P578" s="6">
        <v>65</v>
      </c>
    </row>
    <row r="579" spans="1:16" x14ac:dyDescent="0.3">
      <c r="A579" s="6">
        <v>572</v>
      </c>
      <c r="B579" t="s">
        <v>852</v>
      </c>
      <c r="C579" s="2" t="s">
        <v>853</v>
      </c>
      <c r="D579" t="s">
        <v>15</v>
      </c>
      <c r="F579" t="s">
        <v>1599</v>
      </c>
      <c r="G579" t="s">
        <v>1606</v>
      </c>
      <c r="H579" s="5">
        <v>162</v>
      </c>
      <c r="J579">
        <v>40</v>
      </c>
      <c r="P579" s="6">
        <v>31</v>
      </c>
    </row>
    <row r="580" spans="1:16" x14ac:dyDescent="0.3">
      <c r="A580" s="6">
        <v>573</v>
      </c>
      <c r="B580" t="s">
        <v>64</v>
      </c>
      <c r="C580" s="2" t="s">
        <v>854</v>
      </c>
      <c r="D580" t="s">
        <v>15</v>
      </c>
      <c r="F580" t="s">
        <v>1599</v>
      </c>
      <c r="G580" t="s">
        <v>1606</v>
      </c>
      <c r="H580" s="5">
        <v>95</v>
      </c>
      <c r="J580">
        <v>120</v>
      </c>
      <c r="P580" s="6">
        <v>98</v>
      </c>
    </row>
    <row r="581" spans="1:16" x14ac:dyDescent="0.3">
      <c r="A581" s="6">
        <v>574</v>
      </c>
      <c r="B581" t="s">
        <v>855</v>
      </c>
      <c r="C581" s="2">
        <v>8834</v>
      </c>
      <c r="D581" t="s">
        <v>15</v>
      </c>
      <c r="F581" t="s">
        <v>1599</v>
      </c>
      <c r="G581" t="s">
        <v>1606</v>
      </c>
      <c r="H581" s="5">
        <v>64</v>
      </c>
      <c r="J581">
        <v>120</v>
      </c>
      <c r="P581" s="6">
        <v>100</v>
      </c>
    </row>
    <row r="582" spans="1:16" x14ac:dyDescent="0.3">
      <c r="A582" s="6">
        <v>575</v>
      </c>
      <c r="B582" t="s">
        <v>631</v>
      </c>
      <c r="C582" s="2">
        <v>8111</v>
      </c>
      <c r="D582" t="s">
        <v>15</v>
      </c>
      <c r="F582" t="s">
        <v>1599</v>
      </c>
      <c r="G582" t="s">
        <v>1606</v>
      </c>
      <c r="H582" s="5">
        <v>167</v>
      </c>
      <c r="J582">
        <v>35</v>
      </c>
      <c r="P582" s="6">
        <v>22</v>
      </c>
    </row>
    <row r="583" spans="1:16" x14ac:dyDescent="0.3">
      <c r="A583" s="6">
        <v>576</v>
      </c>
      <c r="B583" t="s">
        <v>856</v>
      </c>
      <c r="C583" s="2">
        <v>8820</v>
      </c>
      <c r="D583" t="s">
        <v>208</v>
      </c>
      <c r="F583" t="s">
        <v>1599</v>
      </c>
      <c r="G583" t="s">
        <v>1606</v>
      </c>
      <c r="H583" s="5">
        <v>6</v>
      </c>
      <c r="J583">
        <v>480</v>
      </c>
      <c r="P583" s="6">
        <v>372</v>
      </c>
    </row>
    <row r="584" spans="1:16" x14ac:dyDescent="0.3">
      <c r="A584" s="6">
        <v>577</v>
      </c>
      <c r="B584" t="s">
        <v>857</v>
      </c>
      <c r="C584" s="2" t="s">
        <v>858</v>
      </c>
      <c r="D584" t="s">
        <v>208</v>
      </c>
      <c r="F584" t="s">
        <v>1599</v>
      </c>
      <c r="G584" t="s">
        <v>1606</v>
      </c>
      <c r="H584" s="5">
        <v>15</v>
      </c>
      <c r="J584">
        <v>360</v>
      </c>
      <c r="P584" s="6">
        <v>270</v>
      </c>
    </row>
    <row r="585" spans="1:16" x14ac:dyDescent="0.3">
      <c r="A585" s="6">
        <v>578</v>
      </c>
      <c r="B585" t="s">
        <v>859</v>
      </c>
      <c r="C585" s="2" t="s">
        <v>860</v>
      </c>
      <c r="D585" t="s">
        <v>15</v>
      </c>
      <c r="F585" t="s">
        <v>1599</v>
      </c>
      <c r="G585" t="s">
        <v>1606</v>
      </c>
      <c r="H585" s="5">
        <v>743</v>
      </c>
      <c r="J585">
        <v>30</v>
      </c>
      <c r="P585" s="6">
        <v>30</v>
      </c>
    </row>
    <row r="586" spans="1:16" x14ac:dyDescent="0.3">
      <c r="A586" s="6">
        <v>579</v>
      </c>
      <c r="B586" t="s">
        <v>861</v>
      </c>
      <c r="C586" s="2" t="s">
        <v>862</v>
      </c>
      <c r="D586" t="s">
        <v>15</v>
      </c>
      <c r="F586" t="s">
        <v>1599</v>
      </c>
      <c r="G586" t="s">
        <v>1606</v>
      </c>
      <c r="H586" s="5">
        <v>256</v>
      </c>
      <c r="J586">
        <v>30</v>
      </c>
      <c r="P586" s="6">
        <v>23</v>
      </c>
    </row>
    <row r="587" spans="1:16" x14ac:dyDescent="0.3">
      <c r="A587" s="6">
        <v>580</v>
      </c>
      <c r="B587" t="s">
        <v>863</v>
      </c>
      <c r="C587" s="2" t="s">
        <v>864</v>
      </c>
      <c r="D587" t="s">
        <v>18</v>
      </c>
      <c r="F587" t="s">
        <v>1599</v>
      </c>
      <c r="G587" t="s">
        <v>1606</v>
      </c>
      <c r="H587" s="5">
        <v>19</v>
      </c>
      <c r="J587">
        <v>250</v>
      </c>
      <c r="P587" s="6">
        <v>175</v>
      </c>
    </row>
    <row r="588" spans="1:16" x14ac:dyDescent="0.3">
      <c r="A588" s="6">
        <v>581</v>
      </c>
      <c r="B588" t="s">
        <v>865</v>
      </c>
      <c r="C588" s="2" t="s">
        <v>866</v>
      </c>
      <c r="D588" t="s">
        <v>15</v>
      </c>
      <c r="F588" t="s">
        <v>1599</v>
      </c>
      <c r="G588" t="s">
        <v>1606</v>
      </c>
      <c r="H588" s="5">
        <v>52</v>
      </c>
      <c r="J588">
        <v>165</v>
      </c>
      <c r="P588" s="6">
        <v>139</v>
      </c>
    </row>
    <row r="589" spans="1:16" x14ac:dyDescent="0.3">
      <c r="A589" s="6">
        <v>582</v>
      </c>
      <c r="B589" t="s">
        <v>867</v>
      </c>
      <c r="C589" s="2" t="s">
        <v>868</v>
      </c>
      <c r="D589" t="s">
        <v>15</v>
      </c>
      <c r="F589" t="s">
        <v>1599</v>
      </c>
      <c r="G589" t="s">
        <v>1606</v>
      </c>
      <c r="H589" s="5">
        <v>230</v>
      </c>
      <c r="J589">
        <v>130</v>
      </c>
      <c r="P589" s="6">
        <v>102</v>
      </c>
    </row>
    <row r="590" spans="1:16" x14ac:dyDescent="0.3">
      <c r="A590" s="6">
        <v>583</v>
      </c>
      <c r="B590" t="s">
        <v>869</v>
      </c>
      <c r="D590" t="s">
        <v>15</v>
      </c>
      <c r="F590" t="s">
        <v>1599</v>
      </c>
      <c r="G590" t="s">
        <v>1606</v>
      </c>
      <c r="H590" s="5">
        <v>221</v>
      </c>
      <c r="J590">
        <v>160</v>
      </c>
      <c r="P590" s="6">
        <v>130</v>
      </c>
    </row>
    <row r="591" spans="1:16" x14ac:dyDescent="0.3">
      <c r="A591" s="6">
        <v>584</v>
      </c>
      <c r="B591" t="s">
        <v>870</v>
      </c>
      <c r="C591" s="2" t="s">
        <v>871</v>
      </c>
      <c r="D591" t="s">
        <v>18</v>
      </c>
      <c r="F591" t="s">
        <v>1599</v>
      </c>
      <c r="G591" t="s">
        <v>1606</v>
      </c>
      <c r="H591" s="5">
        <v>3</v>
      </c>
      <c r="J591">
        <v>540</v>
      </c>
      <c r="P591" s="6">
        <v>30</v>
      </c>
    </row>
    <row r="592" spans="1:16" x14ac:dyDescent="0.3">
      <c r="A592" s="6">
        <v>585</v>
      </c>
      <c r="B592" t="s">
        <v>872</v>
      </c>
      <c r="C592" s="2" t="s">
        <v>873</v>
      </c>
      <c r="D592" t="s">
        <v>18</v>
      </c>
      <c r="F592" t="s">
        <v>1599</v>
      </c>
      <c r="G592" t="s">
        <v>1606</v>
      </c>
      <c r="H592" s="5">
        <v>23</v>
      </c>
      <c r="J592">
        <v>420</v>
      </c>
      <c r="P592" s="6">
        <v>24</v>
      </c>
    </row>
    <row r="593" spans="1:16" x14ac:dyDescent="0.3">
      <c r="A593" s="6">
        <v>586</v>
      </c>
      <c r="B593" t="s">
        <v>875</v>
      </c>
      <c r="C593" s="2" t="s">
        <v>874</v>
      </c>
      <c r="D593" t="s">
        <v>15</v>
      </c>
      <c r="F593" t="s">
        <v>1599</v>
      </c>
      <c r="G593" t="s">
        <v>1606</v>
      </c>
      <c r="H593" s="5">
        <v>399</v>
      </c>
      <c r="J593">
        <v>45</v>
      </c>
      <c r="P593" s="6">
        <v>30</v>
      </c>
    </row>
    <row r="594" spans="1:16" x14ac:dyDescent="0.3">
      <c r="A594" s="6">
        <v>587</v>
      </c>
      <c r="B594" t="s">
        <v>876</v>
      </c>
      <c r="C594" s="2" t="s">
        <v>877</v>
      </c>
      <c r="D594" t="s">
        <v>15</v>
      </c>
      <c r="F594" t="s">
        <v>1599</v>
      </c>
      <c r="G594" t="s">
        <v>1606</v>
      </c>
      <c r="H594" s="5">
        <v>19</v>
      </c>
      <c r="J594">
        <v>90</v>
      </c>
      <c r="P594" s="6">
        <v>65</v>
      </c>
    </row>
    <row r="595" spans="1:16" x14ac:dyDescent="0.3">
      <c r="A595" s="6">
        <v>588</v>
      </c>
      <c r="B595" t="s">
        <v>878</v>
      </c>
      <c r="C595" s="2" t="s">
        <v>879</v>
      </c>
      <c r="D595" t="s">
        <v>15</v>
      </c>
      <c r="F595" t="s">
        <v>1599</v>
      </c>
      <c r="G595" t="s">
        <v>1606</v>
      </c>
      <c r="H595" s="5">
        <v>464</v>
      </c>
      <c r="J595">
        <v>30</v>
      </c>
      <c r="P595" s="6">
        <v>18.5</v>
      </c>
    </row>
    <row r="596" spans="1:16" x14ac:dyDescent="0.3">
      <c r="A596" s="6">
        <v>589</v>
      </c>
      <c r="B596" t="s">
        <v>880</v>
      </c>
      <c r="C596" s="2" t="s">
        <v>881</v>
      </c>
      <c r="D596" t="s">
        <v>15</v>
      </c>
      <c r="F596" t="s">
        <v>1599</v>
      </c>
      <c r="G596" t="s">
        <v>1606</v>
      </c>
      <c r="H596" s="5">
        <f>390+386+11</f>
        <v>787</v>
      </c>
      <c r="J596">
        <v>30</v>
      </c>
      <c r="P596" s="6">
        <v>18.5</v>
      </c>
    </row>
    <row r="597" spans="1:16" x14ac:dyDescent="0.3">
      <c r="A597" s="6">
        <v>590</v>
      </c>
      <c r="B597" t="s">
        <v>882</v>
      </c>
      <c r="C597" s="2" t="s">
        <v>883</v>
      </c>
      <c r="D597" t="s">
        <v>15</v>
      </c>
      <c r="F597" t="s">
        <v>1599</v>
      </c>
      <c r="G597" t="s">
        <v>1606</v>
      </c>
      <c r="H597" s="5">
        <v>44</v>
      </c>
      <c r="J597">
        <v>80</v>
      </c>
      <c r="P597" s="6">
        <v>65</v>
      </c>
    </row>
    <row r="598" spans="1:16" x14ac:dyDescent="0.3">
      <c r="A598" s="6">
        <v>591</v>
      </c>
      <c r="B598" t="s">
        <v>884</v>
      </c>
      <c r="C598" s="2" t="s">
        <v>885</v>
      </c>
      <c r="D598" t="s">
        <v>15</v>
      </c>
      <c r="F598" t="s">
        <v>1599</v>
      </c>
      <c r="G598" t="s">
        <v>1606</v>
      </c>
      <c r="H598" s="5">
        <v>40</v>
      </c>
      <c r="J598">
        <v>60</v>
      </c>
      <c r="P598" s="6">
        <v>48</v>
      </c>
    </row>
    <row r="599" spans="1:16" x14ac:dyDescent="0.3">
      <c r="A599" s="6">
        <v>592</v>
      </c>
      <c r="B599" t="s">
        <v>886</v>
      </c>
      <c r="C599" s="2" t="s">
        <v>887</v>
      </c>
      <c r="D599" t="s">
        <v>15</v>
      </c>
      <c r="F599" t="s">
        <v>1599</v>
      </c>
      <c r="G599" t="s">
        <v>1606</v>
      </c>
      <c r="H599" s="5">
        <v>180</v>
      </c>
      <c r="J599">
        <v>95</v>
      </c>
      <c r="P599" s="6">
        <v>75</v>
      </c>
    </row>
    <row r="600" spans="1:16" x14ac:dyDescent="0.3">
      <c r="A600" s="6">
        <v>593</v>
      </c>
      <c r="B600" t="s">
        <v>888</v>
      </c>
      <c r="C600" s="2" t="s">
        <v>889</v>
      </c>
      <c r="D600" t="s">
        <v>15</v>
      </c>
      <c r="F600" t="s">
        <v>1599</v>
      </c>
      <c r="G600" t="s">
        <v>1606</v>
      </c>
      <c r="H600" s="5">
        <v>19</v>
      </c>
      <c r="J600">
        <v>280</v>
      </c>
      <c r="P600" s="6">
        <v>240</v>
      </c>
    </row>
    <row r="601" spans="1:16" x14ac:dyDescent="0.3">
      <c r="A601" s="6">
        <v>594</v>
      </c>
      <c r="B601" t="s">
        <v>890</v>
      </c>
      <c r="C601" s="2" t="s">
        <v>891</v>
      </c>
      <c r="D601" t="s">
        <v>15</v>
      </c>
      <c r="F601" t="s">
        <v>1599</v>
      </c>
      <c r="G601" t="s">
        <v>1606</v>
      </c>
      <c r="H601" s="5">
        <v>432</v>
      </c>
      <c r="J601">
        <v>40</v>
      </c>
      <c r="P601" s="6">
        <v>23</v>
      </c>
    </row>
    <row r="602" spans="1:16" x14ac:dyDescent="0.3">
      <c r="A602" s="6">
        <v>595</v>
      </c>
      <c r="B602" t="s">
        <v>892</v>
      </c>
      <c r="C602" s="2" t="s">
        <v>893</v>
      </c>
      <c r="D602" t="s">
        <v>15</v>
      </c>
      <c r="F602" t="s">
        <v>1599</v>
      </c>
      <c r="G602" t="s">
        <v>1606</v>
      </c>
      <c r="H602" s="5">
        <v>11</v>
      </c>
      <c r="J602">
        <v>115</v>
      </c>
      <c r="P602" s="6">
        <v>85</v>
      </c>
    </row>
    <row r="603" spans="1:16" x14ac:dyDescent="0.3">
      <c r="A603" s="6">
        <v>596</v>
      </c>
      <c r="B603" t="s">
        <v>894</v>
      </c>
      <c r="C603" s="2" t="s">
        <v>895</v>
      </c>
      <c r="D603" t="s">
        <v>15</v>
      </c>
      <c r="F603" t="s">
        <v>1599</v>
      </c>
      <c r="G603" t="s">
        <v>1606</v>
      </c>
      <c r="H603" s="5">
        <v>19</v>
      </c>
      <c r="J603">
        <v>185</v>
      </c>
      <c r="P603" s="6">
        <v>145</v>
      </c>
    </row>
    <row r="604" spans="1:16" x14ac:dyDescent="0.3">
      <c r="A604" s="6">
        <v>597</v>
      </c>
      <c r="B604" t="s">
        <v>896</v>
      </c>
      <c r="C604" s="2" t="s">
        <v>897</v>
      </c>
      <c r="D604" t="s">
        <v>15</v>
      </c>
      <c r="F604" t="s">
        <v>1599</v>
      </c>
      <c r="G604" t="s">
        <v>1606</v>
      </c>
      <c r="H604" s="5">
        <v>8</v>
      </c>
      <c r="J604">
        <v>70</v>
      </c>
      <c r="P604" s="6">
        <v>52</v>
      </c>
    </row>
    <row r="605" spans="1:16" x14ac:dyDescent="0.3">
      <c r="A605" s="6">
        <v>598</v>
      </c>
      <c r="B605" t="s">
        <v>898</v>
      </c>
      <c r="C605" s="2" t="s">
        <v>899</v>
      </c>
      <c r="D605" t="s">
        <v>15</v>
      </c>
      <c r="F605" t="s">
        <v>1599</v>
      </c>
      <c r="G605" t="s">
        <v>1606</v>
      </c>
      <c r="H605" s="5">
        <v>34</v>
      </c>
      <c r="J605">
        <v>95</v>
      </c>
      <c r="P605" s="6">
        <v>77</v>
      </c>
    </row>
    <row r="606" spans="1:16" x14ac:dyDescent="0.3">
      <c r="A606" s="6">
        <v>599</v>
      </c>
      <c r="B606" t="s">
        <v>900</v>
      </c>
      <c r="C606" s="2" t="s">
        <v>901</v>
      </c>
      <c r="D606" t="s">
        <v>15</v>
      </c>
      <c r="F606" t="s">
        <v>1599</v>
      </c>
      <c r="G606" t="s">
        <v>1606</v>
      </c>
      <c r="H606" s="5">
        <v>37</v>
      </c>
      <c r="J606">
        <v>80</v>
      </c>
      <c r="P606" s="6">
        <v>65</v>
      </c>
    </row>
    <row r="607" spans="1:16" x14ac:dyDescent="0.3">
      <c r="A607" s="6">
        <v>600</v>
      </c>
      <c r="B607" t="s">
        <v>902</v>
      </c>
      <c r="C607" s="2" t="s">
        <v>903</v>
      </c>
      <c r="D607" t="s">
        <v>15</v>
      </c>
      <c r="F607" t="s">
        <v>1599</v>
      </c>
      <c r="G607" t="s">
        <v>1606</v>
      </c>
      <c r="H607" s="5">
        <v>56</v>
      </c>
      <c r="J607">
        <v>85</v>
      </c>
      <c r="P607" s="6">
        <v>68</v>
      </c>
    </row>
    <row r="608" spans="1:16" x14ac:dyDescent="0.3">
      <c r="A608" s="6">
        <v>601</v>
      </c>
      <c r="B608" t="s">
        <v>904</v>
      </c>
      <c r="C608" s="2" t="s">
        <v>905</v>
      </c>
      <c r="D608" t="s">
        <v>15</v>
      </c>
      <c r="F608" t="s">
        <v>1599</v>
      </c>
      <c r="G608" t="s">
        <v>1606</v>
      </c>
      <c r="H608" s="5">
        <v>36</v>
      </c>
      <c r="J608">
        <v>70</v>
      </c>
      <c r="P608" s="6">
        <v>55</v>
      </c>
    </row>
    <row r="609" spans="1:16" x14ac:dyDescent="0.3">
      <c r="A609" s="6">
        <v>602</v>
      </c>
      <c r="B609" t="s">
        <v>906</v>
      </c>
      <c r="C609" s="2" t="s">
        <v>907</v>
      </c>
      <c r="D609" t="s">
        <v>15</v>
      </c>
      <c r="F609" t="s">
        <v>1599</v>
      </c>
      <c r="G609" t="s">
        <v>1606</v>
      </c>
      <c r="H609" s="5">
        <v>46</v>
      </c>
      <c r="J609">
        <v>110</v>
      </c>
      <c r="P609" s="6">
        <v>100</v>
      </c>
    </row>
    <row r="610" spans="1:16" x14ac:dyDescent="0.3">
      <c r="A610" s="6">
        <v>603</v>
      </c>
      <c r="B610" t="s">
        <v>908</v>
      </c>
      <c r="C610" s="2" t="s">
        <v>909</v>
      </c>
      <c r="D610" t="s">
        <v>15</v>
      </c>
      <c r="F610" t="s">
        <v>1599</v>
      </c>
      <c r="G610" t="s">
        <v>1606</v>
      </c>
      <c r="H610" s="5">
        <v>20</v>
      </c>
      <c r="J610">
        <v>100</v>
      </c>
      <c r="P610" s="6">
        <v>80</v>
      </c>
    </row>
    <row r="611" spans="1:16" x14ac:dyDescent="0.3">
      <c r="A611" s="6">
        <v>604</v>
      </c>
      <c r="B611" t="s">
        <v>875</v>
      </c>
      <c r="C611" s="2">
        <v>5100</v>
      </c>
      <c r="D611" t="s">
        <v>15</v>
      </c>
      <c r="F611" t="s">
        <v>1599</v>
      </c>
      <c r="G611" t="s">
        <v>1606</v>
      </c>
      <c r="H611" s="5">
        <v>44</v>
      </c>
      <c r="J611">
        <v>45</v>
      </c>
      <c r="P611" s="6">
        <v>35</v>
      </c>
    </row>
    <row r="612" spans="1:16" x14ac:dyDescent="0.3">
      <c r="A612" s="6">
        <v>605</v>
      </c>
      <c r="B612" t="s">
        <v>910</v>
      </c>
      <c r="C612" s="2" t="s">
        <v>911</v>
      </c>
      <c r="D612" t="s">
        <v>15</v>
      </c>
      <c r="F612" t="s">
        <v>1599</v>
      </c>
      <c r="G612" t="s">
        <v>1606</v>
      </c>
      <c r="H612" s="5">
        <v>22</v>
      </c>
      <c r="J612">
        <v>55</v>
      </c>
      <c r="P612" s="6">
        <v>43</v>
      </c>
    </row>
    <row r="613" spans="1:16" x14ac:dyDescent="0.3">
      <c r="A613" s="6">
        <v>606</v>
      </c>
      <c r="B613" t="s">
        <v>912</v>
      </c>
      <c r="C613" s="2" t="s">
        <v>913</v>
      </c>
      <c r="D613" t="s">
        <v>15</v>
      </c>
      <c r="F613" t="s">
        <v>1599</v>
      </c>
      <c r="G613" t="s">
        <v>1606</v>
      </c>
      <c r="H613" s="5">
        <v>45</v>
      </c>
      <c r="J613">
        <v>50</v>
      </c>
      <c r="P613" s="6">
        <v>38</v>
      </c>
    </row>
    <row r="614" spans="1:16" x14ac:dyDescent="0.3">
      <c r="A614" s="6">
        <v>607</v>
      </c>
      <c r="B614" t="s">
        <v>914</v>
      </c>
      <c r="C614" s="2" t="s">
        <v>915</v>
      </c>
      <c r="D614" t="s">
        <v>15</v>
      </c>
      <c r="F614" t="s">
        <v>1599</v>
      </c>
      <c r="G614" t="s">
        <v>1606</v>
      </c>
      <c r="H614" s="5">
        <v>33</v>
      </c>
      <c r="J614">
        <v>80</v>
      </c>
      <c r="P614" s="6">
        <v>65</v>
      </c>
    </row>
    <row r="615" spans="1:16" x14ac:dyDescent="0.3">
      <c r="A615" s="6">
        <v>608</v>
      </c>
      <c r="B615" t="s">
        <v>916</v>
      </c>
      <c r="C615" s="2" t="s">
        <v>917</v>
      </c>
      <c r="D615" t="s">
        <v>15</v>
      </c>
      <c r="F615" t="s">
        <v>1599</v>
      </c>
      <c r="G615" t="s">
        <v>1606</v>
      </c>
      <c r="H615" s="5">
        <v>3</v>
      </c>
      <c r="J615">
        <v>180</v>
      </c>
      <c r="P615" s="6">
        <v>145</v>
      </c>
    </row>
    <row r="616" spans="1:16" x14ac:dyDescent="0.3">
      <c r="A616" s="6">
        <v>609</v>
      </c>
      <c r="B616" t="s">
        <v>918</v>
      </c>
      <c r="C616" s="2" t="s">
        <v>919</v>
      </c>
      <c r="D616" t="s">
        <v>15</v>
      </c>
      <c r="F616" t="s">
        <v>1599</v>
      </c>
      <c r="G616" t="s">
        <v>1606</v>
      </c>
      <c r="H616" s="5">
        <v>8</v>
      </c>
      <c r="J616">
        <v>125</v>
      </c>
      <c r="P616" s="6">
        <v>100</v>
      </c>
    </row>
    <row r="617" spans="1:16" x14ac:dyDescent="0.3">
      <c r="A617" s="6">
        <v>610</v>
      </c>
      <c r="B617" t="s">
        <v>920</v>
      </c>
      <c r="C617" s="2" t="s">
        <v>921</v>
      </c>
      <c r="D617" t="s">
        <v>15</v>
      </c>
      <c r="F617" t="s">
        <v>1599</v>
      </c>
      <c r="G617" t="s">
        <v>1606</v>
      </c>
      <c r="H617" s="5">
        <v>19</v>
      </c>
      <c r="J617">
        <v>270</v>
      </c>
      <c r="P617" s="6">
        <v>220</v>
      </c>
    </row>
    <row r="618" spans="1:16" x14ac:dyDescent="0.3">
      <c r="A618" s="6">
        <v>611</v>
      </c>
      <c r="B618" t="s">
        <v>922</v>
      </c>
      <c r="C618" s="2" t="s">
        <v>923</v>
      </c>
      <c r="D618" t="s">
        <v>15</v>
      </c>
      <c r="F618" t="s">
        <v>1599</v>
      </c>
      <c r="G618" t="s">
        <v>1606</v>
      </c>
      <c r="H618" s="5">
        <v>16</v>
      </c>
      <c r="J618">
        <v>230</v>
      </c>
      <c r="P618" s="6">
        <v>190</v>
      </c>
    </row>
    <row r="619" spans="1:16" x14ac:dyDescent="0.3">
      <c r="A619" s="6">
        <v>612</v>
      </c>
      <c r="B619" t="s">
        <v>924</v>
      </c>
      <c r="C619" s="2" t="s">
        <v>925</v>
      </c>
      <c r="D619" t="s">
        <v>15</v>
      </c>
      <c r="F619" t="s">
        <v>1599</v>
      </c>
      <c r="G619" t="s">
        <v>1606</v>
      </c>
      <c r="H619" s="5">
        <v>33</v>
      </c>
      <c r="J619">
        <v>160</v>
      </c>
      <c r="P619" s="6">
        <v>130</v>
      </c>
    </row>
    <row r="620" spans="1:16" x14ac:dyDescent="0.3">
      <c r="A620" s="6">
        <v>613</v>
      </c>
      <c r="B620" t="s">
        <v>926</v>
      </c>
      <c r="C620" s="2" t="s">
        <v>927</v>
      </c>
      <c r="D620" t="s">
        <v>15</v>
      </c>
      <c r="F620" t="s">
        <v>1599</v>
      </c>
      <c r="G620" t="s">
        <v>1606</v>
      </c>
      <c r="H620" s="5">
        <v>25</v>
      </c>
      <c r="J620">
        <v>100</v>
      </c>
      <c r="P620" s="6">
        <v>80</v>
      </c>
    </row>
    <row r="621" spans="1:16" x14ac:dyDescent="0.3">
      <c r="A621" s="6">
        <v>614</v>
      </c>
      <c r="B621" t="s">
        <v>928</v>
      </c>
      <c r="C621" s="2" t="s">
        <v>929</v>
      </c>
      <c r="D621" t="s">
        <v>15</v>
      </c>
      <c r="F621" t="s">
        <v>1599</v>
      </c>
      <c r="G621" t="s">
        <v>1606</v>
      </c>
      <c r="H621" s="5">
        <v>18</v>
      </c>
      <c r="J621">
        <v>135</v>
      </c>
      <c r="P621" s="6">
        <v>105</v>
      </c>
    </row>
    <row r="622" spans="1:16" x14ac:dyDescent="0.3">
      <c r="A622" s="6">
        <v>615</v>
      </c>
      <c r="B622" t="s">
        <v>930</v>
      </c>
      <c r="C622" s="2" t="s">
        <v>931</v>
      </c>
      <c r="D622" t="s">
        <v>15</v>
      </c>
      <c r="F622" t="s">
        <v>1599</v>
      </c>
      <c r="G622" t="s">
        <v>1606</v>
      </c>
      <c r="H622" s="5">
        <v>10</v>
      </c>
      <c r="J622">
        <v>190</v>
      </c>
      <c r="P622" s="6">
        <v>155</v>
      </c>
    </row>
    <row r="623" spans="1:16" x14ac:dyDescent="0.3">
      <c r="A623" s="6">
        <v>616</v>
      </c>
      <c r="B623" t="s">
        <v>932</v>
      </c>
      <c r="C623" s="2" t="s">
        <v>933</v>
      </c>
      <c r="D623" t="s">
        <v>15</v>
      </c>
      <c r="F623" t="s">
        <v>1599</v>
      </c>
      <c r="G623" t="s">
        <v>1606</v>
      </c>
      <c r="H623" s="5">
        <v>15</v>
      </c>
      <c r="J623">
        <v>230</v>
      </c>
      <c r="P623" s="6">
        <v>200</v>
      </c>
    </row>
    <row r="624" spans="1:16" x14ac:dyDescent="0.3">
      <c r="A624" s="6">
        <v>617</v>
      </c>
      <c r="B624" t="s">
        <v>934</v>
      </c>
      <c r="C624" s="2" t="s">
        <v>935</v>
      </c>
      <c r="D624" t="s">
        <v>15</v>
      </c>
      <c r="F624" t="s">
        <v>1599</v>
      </c>
      <c r="G624" t="s">
        <v>1606</v>
      </c>
      <c r="H624" s="5">
        <v>13</v>
      </c>
      <c r="J624">
        <v>120</v>
      </c>
      <c r="P624" s="6">
        <v>95</v>
      </c>
    </row>
    <row r="625" spans="1:16" x14ac:dyDescent="0.3">
      <c r="A625" s="6">
        <v>618</v>
      </c>
      <c r="B625" t="s">
        <v>936</v>
      </c>
      <c r="C625" s="2" t="s">
        <v>937</v>
      </c>
      <c r="D625" t="s">
        <v>15</v>
      </c>
      <c r="F625" t="s">
        <v>1599</v>
      </c>
      <c r="G625" t="s">
        <v>1606</v>
      </c>
      <c r="H625" s="5">
        <v>18</v>
      </c>
      <c r="J625">
        <v>55</v>
      </c>
      <c r="P625" s="6">
        <v>39</v>
      </c>
    </row>
    <row r="626" spans="1:16" x14ac:dyDescent="0.3">
      <c r="A626" s="6">
        <v>619</v>
      </c>
      <c r="B626" t="s">
        <v>938</v>
      </c>
      <c r="C626" s="2" t="s">
        <v>939</v>
      </c>
      <c r="D626" t="s">
        <v>15</v>
      </c>
      <c r="F626" t="s">
        <v>1599</v>
      </c>
      <c r="G626" t="s">
        <v>1606</v>
      </c>
      <c r="H626" s="5">
        <v>4</v>
      </c>
      <c r="J626">
        <v>45</v>
      </c>
      <c r="P626" s="6">
        <v>33</v>
      </c>
    </row>
    <row r="627" spans="1:16" x14ac:dyDescent="0.3">
      <c r="A627" s="6">
        <v>620</v>
      </c>
      <c r="B627" t="s">
        <v>940</v>
      </c>
      <c r="C627" s="2" t="s">
        <v>941</v>
      </c>
      <c r="D627" t="s">
        <v>15</v>
      </c>
      <c r="F627" t="s">
        <v>1599</v>
      </c>
      <c r="G627" t="s">
        <v>1606</v>
      </c>
      <c r="H627" s="5">
        <v>8</v>
      </c>
      <c r="J627">
        <v>120</v>
      </c>
      <c r="P627" s="6">
        <v>95</v>
      </c>
    </row>
    <row r="628" spans="1:16" x14ac:dyDescent="0.3">
      <c r="A628" s="6">
        <v>621</v>
      </c>
      <c r="B628" t="s">
        <v>942</v>
      </c>
      <c r="C628" s="2" t="s">
        <v>943</v>
      </c>
      <c r="D628" t="s">
        <v>15</v>
      </c>
      <c r="F628" t="s">
        <v>1599</v>
      </c>
      <c r="G628" t="s">
        <v>1606</v>
      </c>
      <c r="H628" s="5">
        <f>19+68</f>
        <v>87</v>
      </c>
      <c r="J628">
        <v>170</v>
      </c>
      <c r="P628" s="6">
        <v>150</v>
      </c>
    </row>
    <row r="629" spans="1:16" x14ac:dyDescent="0.3">
      <c r="A629" s="6">
        <v>622</v>
      </c>
      <c r="B629" t="s">
        <v>944</v>
      </c>
      <c r="C629" s="2" t="s">
        <v>945</v>
      </c>
      <c r="D629" t="s">
        <v>15</v>
      </c>
      <c r="F629" t="s">
        <v>1599</v>
      </c>
      <c r="G629" t="s">
        <v>1606</v>
      </c>
      <c r="H629" s="5">
        <v>42</v>
      </c>
      <c r="J629">
        <v>130</v>
      </c>
      <c r="P629" s="6">
        <v>105</v>
      </c>
    </row>
    <row r="630" spans="1:16" x14ac:dyDescent="0.3">
      <c r="A630" s="6">
        <v>623</v>
      </c>
      <c r="B630" t="s">
        <v>946</v>
      </c>
      <c r="C630" s="2" t="s">
        <v>947</v>
      </c>
      <c r="D630" t="s">
        <v>15</v>
      </c>
      <c r="F630" t="s">
        <v>1599</v>
      </c>
      <c r="G630" t="s">
        <v>1606</v>
      </c>
      <c r="H630" s="5">
        <v>147</v>
      </c>
      <c r="J630">
        <v>40</v>
      </c>
      <c r="P630" s="6">
        <v>27</v>
      </c>
    </row>
    <row r="631" spans="1:16" x14ac:dyDescent="0.3">
      <c r="A631" s="6">
        <v>624</v>
      </c>
      <c r="B631" t="s">
        <v>946</v>
      </c>
      <c r="C631" s="2" t="s">
        <v>948</v>
      </c>
      <c r="D631" t="s">
        <v>15</v>
      </c>
      <c r="F631" t="s">
        <v>1599</v>
      </c>
      <c r="G631" t="s">
        <v>1606</v>
      </c>
      <c r="H631" s="5">
        <v>70</v>
      </c>
      <c r="J631">
        <v>70</v>
      </c>
      <c r="P631" s="6">
        <v>50</v>
      </c>
    </row>
    <row r="632" spans="1:16" x14ac:dyDescent="0.3">
      <c r="A632" s="6">
        <v>625</v>
      </c>
      <c r="B632" t="s">
        <v>949</v>
      </c>
      <c r="C632" s="2">
        <v>8008</v>
      </c>
      <c r="D632" t="s">
        <v>15</v>
      </c>
      <c r="F632" t="s">
        <v>1599</v>
      </c>
      <c r="G632" t="s">
        <v>1606</v>
      </c>
      <c r="H632" s="5">
        <f>128+131</f>
        <v>259</v>
      </c>
      <c r="J632">
        <v>60</v>
      </c>
      <c r="P632" s="6">
        <v>48</v>
      </c>
    </row>
    <row r="633" spans="1:16" x14ac:dyDescent="0.3">
      <c r="A633" s="6">
        <v>626</v>
      </c>
      <c r="B633" t="s">
        <v>996</v>
      </c>
      <c r="C633" s="2" t="s">
        <v>997</v>
      </c>
      <c r="D633" t="s">
        <v>15</v>
      </c>
      <c r="F633" t="s">
        <v>1599</v>
      </c>
      <c r="G633" t="s">
        <v>1606</v>
      </c>
      <c r="H633" s="5">
        <v>267</v>
      </c>
      <c r="J633">
        <v>65</v>
      </c>
      <c r="P633" s="6">
        <v>42</v>
      </c>
    </row>
    <row r="634" spans="1:16" x14ac:dyDescent="0.3">
      <c r="A634" s="6">
        <v>627</v>
      </c>
      <c r="B634" t="s">
        <v>949</v>
      </c>
      <c r="C634" s="2" t="s">
        <v>951</v>
      </c>
      <c r="D634" t="s">
        <v>15</v>
      </c>
      <c r="F634" t="s">
        <v>1599</v>
      </c>
      <c r="G634" t="s">
        <v>1606</v>
      </c>
      <c r="H634" s="5">
        <v>52</v>
      </c>
      <c r="J634">
        <v>100</v>
      </c>
      <c r="P634" s="6">
        <v>80</v>
      </c>
    </row>
    <row r="635" spans="1:16" x14ac:dyDescent="0.3">
      <c r="A635" s="6">
        <v>628</v>
      </c>
      <c r="B635" t="s">
        <v>736</v>
      </c>
      <c r="C635" s="2" t="s">
        <v>952</v>
      </c>
      <c r="D635" t="s">
        <v>15</v>
      </c>
      <c r="F635" t="s">
        <v>1599</v>
      </c>
      <c r="G635" t="s">
        <v>1606</v>
      </c>
      <c r="H635" s="5">
        <v>184</v>
      </c>
      <c r="J635">
        <v>40</v>
      </c>
      <c r="P635" s="6">
        <v>27</v>
      </c>
    </row>
    <row r="636" spans="1:16" x14ac:dyDescent="0.3">
      <c r="A636" s="6">
        <v>629</v>
      </c>
      <c r="B636" t="s">
        <v>950</v>
      </c>
      <c r="C636" s="2">
        <v>905</v>
      </c>
      <c r="D636" t="s">
        <v>15</v>
      </c>
      <c r="F636" t="s">
        <v>1599</v>
      </c>
      <c r="G636" t="s">
        <v>1606</v>
      </c>
      <c r="H636" s="5">
        <v>18</v>
      </c>
      <c r="J636">
        <v>85</v>
      </c>
      <c r="P636" s="6">
        <v>66</v>
      </c>
    </row>
    <row r="637" spans="1:16" x14ac:dyDescent="0.3">
      <c r="A637" s="6">
        <v>630</v>
      </c>
      <c r="B637" t="s">
        <v>949</v>
      </c>
      <c r="C637" s="2" t="s">
        <v>953</v>
      </c>
      <c r="D637" t="s">
        <v>15</v>
      </c>
      <c r="F637" t="s">
        <v>1599</v>
      </c>
      <c r="G637" t="s">
        <v>1606</v>
      </c>
      <c r="H637" s="5">
        <v>12</v>
      </c>
      <c r="J637">
        <v>150</v>
      </c>
      <c r="P637" s="6">
        <v>110</v>
      </c>
    </row>
    <row r="638" spans="1:16" x14ac:dyDescent="0.3">
      <c r="A638" s="6">
        <v>631</v>
      </c>
      <c r="B638" t="s">
        <v>949</v>
      </c>
      <c r="C638" s="2" t="s">
        <v>954</v>
      </c>
      <c r="D638" t="s">
        <v>15</v>
      </c>
      <c r="F638" t="s">
        <v>1599</v>
      </c>
      <c r="G638" t="s">
        <v>1606</v>
      </c>
      <c r="H638" s="5">
        <v>70</v>
      </c>
      <c r="J638">
        <v>50</v>
      </c>
      <c r="P638" s="6">
        <v>33</v>
      </c>
    </row>
    <row r="639" spans="1:16" x14ac:dyDescent="0.3">
      <c r="A639" s="6">
        <v>632</v>
      </c>
      <c r="B639" t="s">
        <v>949</v>
      </c>
      <c r="C639" s="2" t="s">
        <v>955</v>
      </c>
      <c r="D639" t="s">
        <v>15</v>
      </c>
      <c r="F639" t="s">
        <v>1599</v>
      </c>
      <c r="G639" t="s">
        <v>1606</v>
      </c>
      <c r="H639" s="5">
        <v>60</v>
      </c>
      <c r="J639">
        <v>60</v>
      </c>
      <c r="P639" s="6">
        <v>38</v>
      </c>
    </row>
    <row r="640" spans="1:16" x14ac:dyDescent="0.3">
      <c r="A640" s="6">
        <v>633</v>
      </c>
      <c r="B640" t="s">
        <v>956</v>
      </c>
      <c r="C640" s="2" t="s">
        <v>957</v>
      </c>
      <c r="D640" t="s">
        <v>15</v>
      </c>
      <c r="F640" t="s">
        <v>1599</v>
      </c>
      <c r="G640" t="s">
        <v>1606</v>
      </c>
      <c r="H640" s="5">
        <v>28</v>
      </c>
      <c r="J640">
        <v>185</v>
      </c>
      <c r="P640" s="6">
        <v>148</v>
      </c>
    </row>
    <row r="641" spans="1:16" x14ac:dyDescent="0.3">
      <c r="A641" s="6">
        <v>634</v>
      </c>
      <c r="B641" t="s">
        <v>958</v>
      </c>
      <c r="C641" s="2" t="s">
        <v>959</v>
      </c>
      <c r="D641" t="s">
        <v>15</v>
      </c>
      <c r="F641" t="s">
        <v>1599</v>
      </c>
      <c r="G641" t="s">
        <v>1606</v>
      </c>
      <c r="H641" s="5">
        <v>31</v>
      </c>
      <c r="J641">
        <v>365</v>
      </c>
      <c r="P641" s="6">
        <v>285</v>
      </c>
    </row>
    <row r="642" spans="1:16" x14ac:dyDescent="0.3">
      <c r="A642" s="6">
        <v>635</v>
      </c>
      <c r="B642" t="s">
        <v>960</v>
      </c>
      <c r="C642" s="2" t="s">
        <v>961</v>
      </c>
      <c r="D642" t="s">
        <v>15</v>
      </c>
      <c r="F642" t="s">
        <v>1599</v>
      </c>
      <c r="G642" t="s">
        <v>1606</v>
      </c>
      <c r="H642" s="5">
        <v>60</v>
      </c>
      <c r="J642">
        <v>180</v>
      </c>
      <c r="P642" s="6">
        <v>145</v>
      </c>
    </row>
    <row r="643" spans="1:16" x14ac:dyDescent="0.3">
      <c r="A643" s="6">
        <v>636</v>
      </c>
      <c r="B643" t="s">
        <v>962</v>
      </c>
      <c r="C643" s="2" t="s">
        <v>963</v>
      </c>
      <c r="D643" t="s">
        <v>15</v>
      </c>
      <c r="F643" t="s">
        <v>1599</v>
      </c>
      <c r="G643" t="s">
        <v>1606</v>
      </c>
      <c r="H643" s="5">
        <v>75</v>
      </c>
      <c r="J643">
        <v>170</v>
      </c>
      <c r="P643" s="6">
        <v>125</v>
      </c>
    </row>
    <row r="644" spans="1:16" x14ac:dyDescent="0.3">
      <c r="A644" s="6">
        <v>637</v>
      </c>
      <c r="B644" t="s">
        <v>960</v>
      </c>
      <c r="C644" s="2" t="s">
        <v>964</v>
      </c>
      <c r="D644" t="s">
        <v>15</v>
      </c>
      <c r="F644" t="s">
        <v>1599</v>
      </c>
      <c r="G644" t="s">
        <v>1606</v>
      </c>
      <c r="H644" s="5">
        <v>60</v>
      </c>
      <c r="J644">
        <v>180</v>
      </c>
      <c r="P644" s="6">
        <v>145</v>
      </c>
    </row>
    <row r="645" spans="1:16" x14ac:dyDescent="0.3">
      <c r="A645" s="6">
        <v>638</v>
      </c>
      <c r="B645" t="s">
        <v>965</v>
      </c>
      <c r="C645" s="2">
        <v>324</v>
      </c>
      <c r="D645" t="s">
        <v>15</v>
      </c>
      <c r="F645" t="s">
        <v>1599</v>
      </c>
      <c r="G645" t="s">
        <v>1606</v>
      </c>
      <c r="H645" s="5">
        <v>18</v>
      </c>
      <c r="J645">
        <v>420</v>
      </c>
      <c r="P645" s="6">
        <v>335</v>
      </c>
    </row>
    <row r="646" spans="1:16" x14ac:dyDescent="0.3">
      <c r="A646" s="6">
        <v>639</v>
      </c>
      <c r="B646" t="s">
        <v>530</v>
      </c>
      <c r="C646" s="2" t="s">
        <v>966</v>
      </c>
      <c r="D646" t="s">
        <v>15</v>
      </c>
      <c r="F646" t="s">
        <v>1599</v>
      </c>
      <c r="G646" t="s">
        <v>1606</v>
      </c>
      <c r="H646" s="5">
        <v>60</v>
      </c>
      <c r="J646">
        <v>125</v>
      </c>
      <c r="P646" s="6">
        <v>78</v>
      </c>
    </row>
    <row r="647" spans="1:16" x14ac:dyDescent="0.3">
      <c r="A647" s="6">
        <v>640</v>
      </c>
      <c r="B647" t="s">
        <v>967</v>
      </c>
      <c r="C647" s="2" t="s">
        <v>968</v>
      </c>
      <c r="D647" t="s">
        <v>15</v>
      </c>
      <c r="F647" t="s">
        <v>1599</v>
      </c>
      <c r="G647" t="s">
        <v>1606</v>
      </c>
      <c r="H647" s="5">
        <v>41</v>
      </c>
      <c r="J647">
        <v>300</v>
      </c>
      <c r="P647" s="6">
        <v>240</v>
      </c>
    </row>
    <row r="648" spans="1:16" x14ac:dyDescent="0.3">
      <c r="A648" s="6">
        <v>641</v>
      </c>
      <c r="B648" t="s">
        <v>595</v>
      </c>
      <c r="C648" s="2" t="s">
        <v>969</v>
      </c>
      <c r="D648" t="s">
        <v>15</v>
      </c>
      <c r="F648" t="s">
        <v>1599</v>
      </c>
      <c r="G648" t="s">
        <v>1606</v>
      </c>
      <c r="H648" s="5">
        <v>90</v>
      </c>
      <c r="J648">
        <v>125</v>
      </c>
      <c r="P648" s="6">
        <v>83</v>
      </c>
    </row>
    <row r="649" spans="1:16" x14ac:dyDescent="0.3">
      <c r="A649" s="6">
        <v>642</v>
      </c>
      <c r="B649" t="s">
        <v>970</v>
      </c>
      <c r="C649" s="2" t="s">
        <v>971</v>
      </c>
      <c r="D649" t="s">
        <v>15</v>
      </c>
      <c r="F649" t="s">
        <v>1599</v>
      </c>
      <c r="G649" t="s">
        <v>1606</v>
      </c>
      <c r="H649" s="5">
        <v>104</v>
      </c>
      <c r="J649">
        <v>90</v>
      </c>
      <c r="P649" s="6">
        <v>90</v>
      </c>
    </row>
    <row r="650" spans="1:16" x14ac:dyDescent="0.3">
      <c r="A650" s="6">
        <v>643</v>
      </c>
      <c r="B650" t="s">
        <v>962</v>
      </c>
      <c r="C650" s="2" t="s">
        <v>972</v>
      </c>
      <c r="D650" t="s">
        <v>15</v>
      </c>
      <c r="F650" t="s">
        <v>1599</v>
      </c>
      <c r="G650" t="s">
        <v>1606</v>
      </c>
      <c r="H650" s="5">
        <v>29</v>
      </c>
      <c r="J650">
        <v>165</v>
      </c>
      <c r="P650" s="6">
        <v>120</v>
      </c>
    </row>
    <row r="651" spans="1:16" x14ac:dyDescent="0.3">
      <c r="A651" s="6">
        <v>644</v>
      </c>
      <c r="B651" t="s">
        <v>973</v>
      </c>
      <c r="C651" s="2" t="s">
        <v>974</v>
      </c>
      <c r="D651" t="s">
        <v>15</v>
      </c>
      <c r="F651" t="s">
        <v>1599</v>
      </c>
      <c r="G651" t="s">
        <v>1606</v>
      </c>
      <c r="H651" s="5">
        <v>93</v>
      </c>
      <c r="J651">
        <v>55</v>
      </c>
      <c r="P651" s="6">
        <v>31</v>
      </c>
    </row>
    <row r="652" spans="1:16" x14ac:dyDescent="0.3">
      <c r="A652" s="6">
        <v>645</v>
      </c>
      <c r="B652" t="s">
        <v>975</v>
      </c>
      <c r="C652" s="2" t="s">
        <v>976</v>
      </c>
      <c r="D652" t="s">
        <v>15</v>
      </c>
      <c r="F652" t="s">
        <v>1599</v>
      </c>
      <c r="G652" t="s">
        <v>1606</v>
      </c>
      <c r="H652" s="5">
        <v>58</v>
      </c>
      <c r="J652">
        <v>170</v>
      </c>
      <c r="P652" s="6">
        <v>115</v>
      </c>
    </row>
    <row r="653" spans="1:16" x14ac:dyDescent="0.3">
      <c r="A653" s="6">
        <v>646</v>
      </c>
      <c r="B653" t="s">
        <v>978</v>
      </c>
      <c r="C653" s="2" t="s">
        <v>977</v>
      </c>
      <c r="D653" t="s">
        <v>15</v>
      </c>
      <c r="F653" t="s">
        <v>1599</v>
      </c>
      <c r="G653" t="s">
        <v>1606</v>
      </c>
      <c r="H653" s="5">
        <v>42</v>
      </c>
      <c r="J653">
        <v>35</v>
      </c>
      <c r="P653" s="6">
        <v>25</v>
      </c>
    </row>
    <row r="654" spans="1:16" x14ac:dyDescent="0.3">
      <c r="A654" s="6">
        <v>647</v>
      </c>
      <c r="B654" t="s">
        <v>979</v>
      </c>
      <c r="C654" s="2" t="s">
        <v>980</v>
      </c>
      <c r="D654" t="s">
        <v>15</v>
      </c>
      <c r="F654" t="s">
        <v>1599</v>
      </c>
      <c r="G654" t="s">
        <v>1606</v>
      </c>
      <c r="H654" s="5">
        <v>200</v>
      </c>
      <c r="J654">
        <v>28</v>
      </c>
      <c r="P654" s="6">
        <v>14</v>
      </c>
    </row>
    <row r="655" spans="1:16" x14ac:dyDescent="0.3">
      <c r="A655" s="6">
        <v>648</v>
      </c>
      <c r="B655" t="s">
        <v>981</v>
      </c>
      <c r="C655" s="2" t="s">
        <v>982</v>
      </c>
      <c r="D655" t="s">
        <v>15</v>
      </c>
      <c r="F655" t="s">
        <v>1599</v>
      </c>
      <c r="G655" t="s">
        <v>1606</v>
      </c>
      <c r="H655" s="5">
        <v>81</v>
      </c>
      <c r="J655">
        <v>290</v>
      </c>
      <c r="P655" s="6">
        <v>175</v>
      </c>
    </row>
    <row r="656" spans="1:16" x14ac:dyDescent="0.3">
      <c r="A656" s="6">
        <v>649</v>
      </c>
      <c r="B656" t="s">
        <v>595</v>
      </c>
      <c r="C656" s="2" t="s">
        <v>983</v>
      </c>
      <c r="D656" t="s">
        <v>15</v>
      </c>
      <c r="F656" t="s">
        <v>1599</v>
      </c>
      <c r="G656" t="s">
        <v>1606</v>
      </c>
      <c r="H656" s="5">
        <v>102</v>
      </c>
      <c r="J656">
        <v>190</v>
      </c>
      <c r="P656" s="6">
        <v>155</v>
      </c>
    </row>
    <row r="657" spans="1:16" x14ac:dyDescent="0.3">
      <c r="A657" s="6">
        <v>650</v>
      </c>
      <c r="B657" t="s">
        <v>984</v>
      </c>
      <c r="C657" s="2" t="s">
        <v>985</v>
      </c>
      <c r="D657" t="s">
        <v>15</v>
      </c>
      <c r="F657" t="s">
        <v>1599</v>
      </c>
      <c r="G657" t="s">
        <v>1606</v>
      </c>
      <c r="H657" s="5">
        <v>35</v>
      </c>
      <c r="J657">
        <v>320</v>
      </c>
      <c r="P657" s="6">
        <v>220</v>
      </c>
    </row>
    <row r="658" spans="1:16" x14ac:dyDescent="0.3">
      <c r="A658" s="6">
        <v>651</v>
      </c>
      <c r="B658" t="s">
        <v>986</v>
      </c>
      <c r="D658" t="s">
        <v>15</v>
      </c>
      <c r="F658" t="s">
        <v>1599</v>
      </c>
      <c r="G658" t="s">
        <v>1606</v>
      </c>
      <c r="H658" s="5">
        <v>92</v>
      </c>
      <c r="J658">
        <v>50</v>
      </c>
      <c r="P658" s="6">
        <v>38</v>
      </c>
    </row>
    <row r="659" spans="1:16" x14ac:dyDescent="0.3">
      <c r="A659" s="6">
        <v>652</v>
      </c>
      <c r="B659" t="s">
        <v>987</v>
      </c>
      <c r="C659" s="2" t="s">
        <v>988</v>
      </c>
      <c r="D659" t="s">
        <v>15</v>
      </c>
      <c r="F659" t="s">
        <v>1599</v>
      </c>
      <c r="G659" t="s">
        <v>1606</v>
      </c>
      <c r="H659" s="5">
        <v>116</v>
      </c>
      <c r="J659">
        <v>110</v>
      </c>
      <c r="P659" s="6">
        <v>98</v>
      </c>
    </row>
    <row r="660" spans="1:16" x14ac:dyDescent="0.3">
      <c r="A660" s="6">
        <v>653</v>
      </c>
      <c r="B660" t="s">
        <v>987</v>
      </c>
      <c r="C660" s="2" t="s">
        <v>989</v>
      </c>
      <c r="D660" t="s">
        <v>15</v>
      </c>
      <c r="F660" t="s">
        <v>1599</v>
      </c>
      <c r="G660" t="s">
        <v>1606</v>
      </c>
      <c r="H660" s="5">
        <v>82</v>
      </c>
      <c r="J660">
        <v>110</v>
      </c>
      <c r="P660" s="6">
        <v>98</v>
      </c>
    </row>
    <row r="661" spans="1:16" x14ac:dyDescent="0.3">
      <c r="A661" s="6">
        <v>654</v>
      </c>
      <c r="B661" t="s">
        <v>991</v>
      </c>
      <c r="C661" s="2" t="s">
        <v>990</v>
      </c>
      <c r="D661" t="s">
        <v>15</v>
      </c>
      <c r="F661" t="s">
        <v>1599</v>
      </c>
      <c r="G661" t="s">
        <v>1606</v>
      </c>
      <c r="H661" s="5">
        <v>335</v>
      </c>
      <c r="J661">
        <v>45</v>
      </c>
      <c r="P661" s="6">
        <v>38.5</v>
      </c>
    </row>
    <row r="662" spans="1:16" x14ac:dyDescent="0.3">
      <c r="A662" s="6">
        <v>655</v>
      </c>
      <c r="B662" t="s">
        <v>992</v>
      </c>
      <c r="C662" s="2" t="s">
        <v>993</v>
      </c>
      <c r="D662" t="s">
        <v>15</v>
      </c>
      <c r="F662" t="s">
        <v>1599</v>
      </c>
      <c r="G662" t="s">
        <v>1606</v>
      </c>
      <c r="H662" s="5">
        <v>194</v>
      </c>
      <c r="J662">
        <v>45</v>
      </c>
      <c r="P662" s="6">
        <v>38.5</v>
      </c>
    </row>
    <row r="663" spans="1:16" x14ac:dyDescent="0.3">
      <c r="A663" s="6">
        <v>656</v>
      </c>
      <c r="B663" t="s">
        <v>994</v>
      </c>
      <c r="C663" s="2" t="s">
        <v>995</v>
      </c>
      <c r="D663" t="s">
        <v>15</v>
      </c>
      <c r="F663" t="s">
        <v>1599</v>
      </c>
      <c r="G663" t="s">
        <v>1606</v>
      </c>
      <c r="H663" s="5">
        <f>28+22</f>
        <v>50</v>
      </c>
      <c r="J663">
        <v>40</v>
      </c>
      <c r="P663" s="6">
        <v>40</v>
      </c>
    </row>
    <row r="664" spans="1:16" x14ac:dyDescent="0.3">
      <c r="A664" s="6">
        <v>657</v>
      </c>
      <c r="B664" t="s">
        <v>998</v>
      </c>
      <c r="D664" t="s">
        <v>15</v>
      </c>
      <c r="F664" t="s">
        <v>1599</v>
      </c>
      <c r="G664" t="s">
        <v>1606</v>
      </c>
      <c r="H664" s="5">
        <v>17</v>
      </c>
      <c r="J664">
        <v>140</v>
      </c>
      <c r="P664" s="6">
        <v>110</v>
      </c>
    </row>
    <row r="665" spans="1:16" x14ac:dyDescent="0.3">
      <c r="A665" s="6">
        <v>658</v>
      </c>
      <c r="B665" t="s">
        <v>999</v>
      </c>
      <c r="C665" s="2" t="s">
        <v>1000</v>
      </c>
      <c r="D665" t="s">
        <v>15</v>
      </c>
      <c r="F665" t="s">
        <v>1599</v>
      </c>
      <c r="G665" t="s">
        <v>1606</v>
      </c>
      <c r="H665" s="5">
        <v>33</v>
      </c>
      <c r="J665">
        <v>195</v>
      </c>
      <c r="P665" s="6">
        <v>143</v>
      </c>
    </row>
    <row r="666" spans="1:16" x14ac:dyDescent="0.3">
      <c r="A666" s="6">
        <v>659</v>
      </c>
      <c r="B666" t="s">
        <v>999</v>
      </c>
      <c r="C666" s="2" t="s">
        <v>1001</v>
      </c>
      <c r="D666" t="s">
        <v>15</v>
      </c>
      <c r="F666" t="s">
        <v>1599</v>
      </c>
      <c r="G666" t="s">
        <v>1606</v>
      </c>
      <c r="H666" s="5">
        <v>8</v>
      </c>
      <c r="J666">
        <v>260</v>
      </c>
      <c r="P666" s="6">
        <v>197</v>
      </c>
    </row>
    <row r="667" spans="1:16" x14ac:dyDescent="0.3">
      <c r="A667" s="6">
        <v>660</v>
      </c>
      <c r="B667" t="s">
        <v>999</v>
      </c>
      <c r="C667" s="2" t="s">
        <v>1002</v>
      </c>
      <c r="D667" t="s">
        <v>15</v>
      </c>
      <c r="F667" t="s">
        <v>1599</v>
      </c>
      <c r="G667" t="s">
        <v>1606</v>
      </c>
      <c r="H667" s="5">
        <v>22</v>
      </c>
      <c r="J667">
        <v>195</v>
      </c>
      <c r="P667" s="6">
        <v>125</v>
      </c>
    </row>
    <row r="668" spans="1:16" x14ac:dyDescent="0.3">
      <c r="A668" s="6">
        <v>661</v>
      </c>
      <c r="B668" t="s">
        <v>1003</v>
      </c>
      <c r="D668" t="s">
        <v>15</v>
      </c>
      <c r="F668" t="s">
        <v>1599</v>
      </c>
      <c r="G668" t="s">
        <v>1606</v>
      </c>
      <c r="H668" s="5">
        <v>18</v>
      </c>
      <c r="J668">
        <v>250</v>
      </c>
      <c r="P668" s="6">
        <v>195</v>
      </c>
    </row>
    <row r="669" spans="1:16" x14ac:dyDescent="0.3">
      <c r="A669" s="6">
        <v>662</v>
      </c>
      <c r="B669" t="s">
        <v>480</v>
      </c>
      <c r="C669" s="2" t="s">
        <v>1007</v>
      </c>
      <c r="D669" t="s">
        <v>15</v>
      </c>
      <c r="F669" t="s">
        <v>1599</v>
      </c>
      <c r="G669" t="s">
        <v>1606</v>
      </c>
      <c r="H669" s="5">
        <v>11</v>
      </c>
      <c r="J669">
        <v>270</v>
      </c>
      <c r="P669" s="6">
        <v>186</v>
      </c>
    </row>
    <row r="670" spans="1:16" x14ac:dyDescent="0.3">
      <c r="A670" s="6">
        <v>663</v>
      </c>
      <c r="B670" t="s">
        <v>1004</v>
      </c>
      <c r="C670" s="2">
        <v>2283</v>
      </c>
      <c r="D670" t="s">
        <v>15</v>
      </c>
      <c r="F670" t="s">
        <v>1599</v>
      </c>
      <c r="G670" t="s">
        <v>1606</v>
      </c>
      <c r="H670" s="5">
        <v>32</v>
      </c>
      <c r="J670">
        <v>210</v>
      </c>
      <c r="P670" s="6">
        <v>141</v>
      </c>
    </row>
    <row r="671" spans="1:16" x14ac:dyDescent="0.3">
      <c r="A671" s="6">
        <v>664</v>
      </c>
      <c r="B671" t="s">
        <v>1005</v>
      </c>
      <c r="C671" s="2" t="s">
        <v>1006</v>
      </c>
      <c r="D671" t="s">
        <v>15</v>
      </c>
      <c r="F671" t="s">
        <v>1599</v>
      </c>
      <c r="G671" t="s">
        <v>1606</v>
      </c>
      <c r="H671" s="5">
        <v>64</v>
      </c>
      <c r="J671">
        <v>185</v>
      </c>
      <c r="P671" s="6">
        <v>105</v>
      </c>
    </row>
    <row r="672" spans="1:16" x14ac:dyDescent="0.3">
      <c r="A672" s="6">
        <v>665</v>
      </c>
      <c r="B672" t="s">
        <v>501</v>
      </c>
      <c r="C672" s="2" t="s">
        <v>1008</v>
      </c>
      <c r="D672" t="s">
        <v>15</v>
      </c>
      <c r="F672" t="s">
        <v>1599</v>
      </c>
      <c r="G672" t="s">
        <v>1606</v>
      </c>
      <c r="H672" s="5">
        <v>168</v>
      </c>
      <c r="J672">
        <v>135</v>
      </c>
      <c r="P672" s="6">
        <v>105</v>
      </c>
    </row>
    <row r="673" spans="1:16" x14ac:dyDescent="0.3">
      <c r="A673" s="6">
        <v>666</v>
      </c>
      <c r="B673" t="s">
        <v>1009</v>
      </c>
      <c r="C673" s="2" t="s">
        <v>1010</v>
      </c>
      <c r="D673" t="s">
        <v>15</v>
      </c>
      <c r="F673" t="s">
        <v>1599</v>
      </c>
      <c r="G673" t="s">
        <v>1606</v>
      </c>
      <c r="H673" s="5">
        <v>10</v>
      </c>
      <c r="J673">
        <v>290</v>
      </c>
      <c r="P673" s="6">
        <v>230</v>
      </c>
    </row>
    <row r="674" spans="1:16" x14ac:dyDescent="0.3">
      <c r="A674" s="6">
        <v>667</v>
      </c>
      <c r="B674" t="s">
        <v>595</v>
      </c>
      <c r="C674" s="2" t="s">
        <v>1011</v>
      </c>
      <c r="D674" t="s">
        <v>15</v>
      </c>
      <c r="F674" t="s">
        <v>1599</v>
      </c>
      <c r="G674" t="s">
        <v>1606</v>
      </c>
      <c r="H674" s="5">
        <v>72</v>
      </c>
      <c r="J674">
        <v>80</v>
      </c>
      <c r="P674" s="6">
        <v>50</v>
      </c>
    </row>
    <row r="675" spans="1:16" x14ac:dyDescent="0.3">
      <c r="A675" s="6">
        <v>668</v>
      </c>
      <c r="B675" t="s">
        <v>30</v>
      </c>
      <c r="C675" s="2" t="s">
        <v>1012</v>
      </c>
      <c r="D675" t="s">
        <v>15</v>
      </c>
      <c r="F675" t="s">
        <v>1599</v>
      </c>
      <c r="G675" t="s">
        <v>1606</v>
      </c>
      <c r="H675" s="5">
        <v>126</v>
      </c>
      <c r="J675">
        <v>165</v>
      </c>
      <c r="P675" s="6">
        <v>135</v>
      </c>
    </row>
    <row r="676" spans="1:16" x14ac:dyDescent="0.3">
      <c r="A676" s="6">
        <v>669</v>
      </c>
      <c r="B676" t="s">
        <v>501</v>
      </c>
      <c r="C676" s="2" t="s">
        <v>1013</v>
      </c>
      <c r="D676" t="s">
        <v>15</v>
      </c>
      <c r="F676" t="s">
        <v>1599</v>
      </c>
      <c r="G676" t="s">
        <v>1606</v>
      </c>
      <c r="H676" s="5">
        <v>120</v>
      </c>
      <c r="J676">
        <v>165</v>
      </c>
      <c r="P676" s="6">
        <v>135</v>
      </c>
    </row>
    <row r="677" spans="1:16" x14ac:dyDescent="0.3">
      <c r="A677" s="6">
        <v>670</v>
      </c>
      <c r="B677" t="s">
        <v>1014</v>
      </c>
      <c r="C677" s="2" t="s">
        <v>1015</v>
      </c>
      <c r="D677" t="s">
        <v>15</v>
      </c>
      <c r="F677" t="s">
        <v>1599</v>
      </c>
      <c r="G677" t="s">
        <v>1606</v>
      </c>
      <c r="H677" s="5">
        <v>120</v>
      </c>
      <c r="J677">
        <v>90</v>
      </c>
      <c r="P677" s="6">
        <v>74</v>
      </c>
    </row>
    <row r="678" spans="1:16" x14ac:dyDescent="0.3">
      <c r="A678" s="6">
        <v>671</v>
      </c>
      <c r="B678" t="s">
        <v>1016</v>
      </c>
      <c r="C678" s="2" t="s">
        <v>1017</v>
      </c>
      <c r="D678" t="s">
        <v>15</v>
      </c>
      <c r="F678" t="s">
        <v>1599</v>
      </c>
      <c r="G678" t="s">
        <v>1606</v>
      </c>
      <c r="H678" s="5">
        <v>48</v>
      </c>
      <c r="J678">
        <v>600</v>
      </c>
      <c r="P678" s="6">
        <v>453</v>
      </c>
    </row>
    <row r="679" spans="1:16" x14ac:dyDescent="0.3">
      <c r="A679" s="6">
        <v>672</v>
      </c>
      <c r="B679" t="s">
        <v>595</v>
      </c>
      <c r="C679" s="2">
        <v>904</v>
      </c>
      <c r="D679" t="s">
        <v>15</v>
      </c>
      <c r="F679" t="s">
        <v>1599</v>
      </c>
      <c r="G679" t="s">
        <v>1606</v>
      </c>
      <c r="H679" s="5">
        <v>21</v>
      </c>
      <c r="J679">
        <v>250</v>
      </c>
      <c r="P679" s="6">
        <v>198</v>
      </c>
    </row>
    <row r="680" spans="1:16" x14ac:dyDescent="0.3">
      <c r="A680" s="6">
        <v>673</v>
      </c>
      <c r="B680" t="s">
        <v>1018</v>
      </c>
      <c r="C680" s="2" t="s">
        <v>1019</v>
      </c>
      <c r="D680" t="s">
        <v>15</v>
      </c>
      <c r="F680" t="s">
        <v>1599</v>
      </c>
      <c r="G680" t="s">
        <v>1606</v>
      </c>
      <c r="H680" s="5">
        <v>18</v>
      </c>
      <c r="J680">
        <v>295</v>
      </c>
      <c r="P680" s="6">
        <v>235</v>
      </c>
    </row>
    <row r="681" spans="1:16" x14ac:dyDescent="0.3">
      <c r="A681" s="6">
        <v>674</v>
      </c>
      <c r="B681" t="s">
        <v>1020</v>
      </c>
      <c r="C681" s="2" t="s">
        <v>1021</v>
      </c>
      <c r="D681" t="s">
        <v>15</v>
      </c>
      <c r="F681" t="s">
        <v>1599</v>
      </c>
      <c r="G681" t="s">
        <v>1606</v>
      </c>
      <c r="H681" s="5">
        <v>16</v>
      </c>
      <c r="J681">
        <v>130</v>
      </c>
      <c r="P681" s="6">
        <v>105</v>
      </c>
    </row>
    <row r="682" spans="1:16" x14ac:dyDescent="0.3">
      <c r="A682" s="6">
        <v>675</v>
      </c>
      <c r="B682" t="s">
        <v>1022</v>
      </c>
      <c r="C682" s="2">
        <v>19026</v>
      </c>
      <c r="D682" t="s">
        <v>15</v>
      </c>
      <c r="F682" t="s">
        <v>1599</v>
      </c>
      <c r="G682" t="s">
        <v>1606</v>
      </c>
      <c r="H682" s="5">
        <v>27</v>
      </c>
      <c r="J682">
        <v>155</v>
      </c>
      <c r="P682" s="6">
        <v>115</v>
      </c>
    </row>
    <row r="683" spans="1:16" x14ac:dyDescent="0.3">
      <c r="A683" s="6">
        <v>676</v>
      </c>
      <c r="B683" t="s">
        <v>30</v>
      </c>
      <c r="C683" s="2" t="s">
        <v>1023</v>
      </c>
      <c r="D683" t="s">
        <v>15</v>
      </c>
      <c r="F683" t="s">
        <v>1599</v>
      </c>
      <c r="G683" t="s">
        <v>1606</v>
      </c>
      <c r="H683" s="5">
        <v>122</v>
      </c>
      <c r="J683">
        <v>110</v>
      </c>
      <c r="P683" s="6">
        <v>88</v>
      </c>
    </row>
    <row r="684" spans="1:16" x14ac:dyDescent="0.3">
      <c r="A684" s="6">
        <v>677</v>
      </c>
      <c r="B684" t="s">
        <v>1024</v>
      </c>
      <c r="C684" s="2" t="s">
        <v>1025</v>
      </c>
      <c r="D684" t="s">
        <v>15</v>
      </c>
      <c r="F684" t="s">
        <v>1599</v>
      </c>
      <c r="G684" t="s">
        <v>1606</v>
      </c>
      <c r="H684" s="5">
        <v>70</v>
      </c>
      <c r="J684">
        <v>250</v>
      </c>
      <c r="P684" s="6">
        <v>183</v>
      </c>
    </row>
    <row r="685" spans="1:16" x14ac:dyDescent="0.3">
      <c r="A685" s="6">
        <v>678</v>
      </c>
      <c r="B685" t="s">
        <v>1026</v>
      </c>
      <c r="C685" s="2" t="s">
        <v>1027</v>
      </c>
      <c r="D685" t="s">
        <v>15</v>
      </c>
      <c r="F685" t="s">
        <v>1599</v>
      </c>
      <c r="G685" t="s">
        <v>1606</v>
      </c>
      <c r="H685" s="5">
        <v>238</v>
      </c>
      <c r="J685">
        <v>170</v>
      </c>
      <c r="P685" s="6">
        <v>135</v>
      </c>
    </row>
    <row r="686" spans="1:16" x14ac:dyDescent="0.3">
      <c r="A686" s="6">
        <v>679</v>
      </c>
      <c r="B686" t="s">
        <v>595</v>
      </c>
      <c r="C686" s="2" t="s">
        <v>1028</v>
      </c>
      <c r="D686" t="s">
        <v>15</v>
      </c>
      <c r="F686" t="s">
        <v>1599</v>
      </c>
      <c r="G686" t="s">
        <v>1606</v>
      </c>
      <c r="H686" s="5">
        <v>42</v>
      </c>
      <c r="J686">
        <v>120</v>
      </c>
      <c r="P686" s="6">
        <v>95</v>
      </c>
    </row>
    <row r="687" spans="1:16" x14ac:dyDescent="0.3">
      <c r="A687" s="6">
        <v>680</v>
      </c>
      <c r="B687" t="s">
        <v>1029</v>
      </c>
      <c r="C687" s="2" t="s">
        <v>1030</v>
      </c>
      <c r="D687" t="s">
        <v>15</v>
      </c>
      <c r="F687" t="s">
        <v>1599</v>
      </c>
      <c r="G687" t="s">
        <v>1606</v>
      </c>
      <c r="H687" s="5">
        <v>30</v>
      </c>
      <c r="J687">
        <v>245</v>
      </c>
      <c r="P687" s="6">
        <v>175</v>
      </c>
    </row>
    <row r="688" spans="1:16" x14ac:dyDescent="0.3">
      <c r="A688" s="6">
        <v>681</v>
      </c>
      <c r="B688" t="s">
        <v>975</v>
      </c>
      <c r="C688" s="2" t="s">
        <v>1031</v>
      </c>
      <c r="D688" t="s">
        <v>15</v>
      </c>
      <c r="F688" t="s">
        <v>1599</v>
      </c>
      <c r="G688" t="s">
        <v>1606</v>
      </c>
      <c r="H688" s="5">
        <v>38</v>
      </c>
      <c r="J688">
        <v>160</v>
      </c>
      <c r="P688" s="6">
        <v>110</v>
      </c>
    </row>
    <row r="689" spans="1:16" x14ac:dyDescent="0.3">
      <c r="A689" s="6">
        <v>682</v>
      </c>
      <c r="B689" t="s">
        <v>1032</v>
      </c>
      <c r="C689" s="2" t="s">
        <v>1033</v>
      </c>
      <c r="D689" t="s">
        <v>15</v>
      </c>
      <c r="F689" t="s">
        <v>1599</v>
      </c>
      <c r="G689" t="s">
        <v>1606</v>
      </c>
      <c r="H689" s="5">
        <v>80</v>
      </c>
      <c r="J689">
        <v>190</v>
      </c>
      <c r="P689" s="6">
        <v>133</v>
      </c>
    </row>
    <row r="690" spans="1:16" x14ac:dyDescent="0.3">
      <c r="A690" s="6">
        <v>683</v>
      </c>
      <c r="B690" t="s">
        <v>1034</v>
      </c>
      <c r="C690" s="2" t="s">
        <v>1035</v>
      </c>
      <c r="D690" t="s">
        <v>15</v>
      </c>
      <c r="F690" t="s">
        <v>1599</v>
      </c>
      <c r="G690" t="s">
        <v>1606</v>
      </c>
      <c r="H690" s="5">
        <v>20</v>
      </c>
      <c r="J690">
        <v>260</v>
      </c>
      <c r="P690" s="6">
        <v>225</v>
      </c>
    </row>
    <row r="691" spans="1:16" x14ac:dyDescent="0.3">
      <c r="A691" s="6">
        <v>684</v>
      </c>
      <c r="B691" t="s">
        <v>1036</v>
      </c>
      <c r="C691" s="2" t="s">
        <v>1037</v>
      </c>
      <c r="D691" t="s">
        <v>15</v>
      </c>
      <c r="F691" t="s">
        <v>1599</v>
      </c>
      <c r="G691" t="s">
        <v>1606</v>
      </c>
      <c r="H691" s="5">
        <v>15</v>
      </c>
      <c r="J691">
        <v>390</v>
      </c>
      <c r="P691" s="6">
        <v>290</v>
      </c>
    </row>
    <row r="692" spans="1:16" x14ac:dyDescent="0.3">
      <c r="A692" s="6">
        <v>685</v>
      </c>
      <c r="B692" t="s">
        <v>1038</v>
      </c>
      <c r="C692" s="2" t="s">
        <v>1039</v>
      </c>
      <c r="D692" t="s">
        <v>15</v>
      </c>
      <c r="F692" t="s">
        <v>1599</v>
      </c>
      <c r="G692" t="s">
        <v>1606</v>
      </c>
      <c r="H692" s="5">
        <v>100</v>
      </c>
      <c r="J692">
        <v>110</v>
      </c>
      <c r="P692" s="6">
        <v>88</v>
      </c>
    </row>
    <row r="693" spans="1:16" x14ac:dyDescent="0.3">
      <c r="A693" s="6">
        <v>686</v>
      </c>
      <c r="B693" t="s">
        <v>1040</v>
      </c>
      <c r="C693" s="2" t="s">
        <v>1041</v>
      </c>
      <c r="D693" t="s">
        <v>15</v>
      </c>
      <c r="F693" t="s">
        <v>1599</v>
      </c>
      <c r="G693" t="s">
        <v>1606</v>
      </c>
      <c r="H693" s="5">
        <v>30</v>
      </c>
      <c r="J693">
        <v>200</v>
      </c>
      <c r="P693" s="6">
        <v>165</v>
      </c>
    </row>
    <row r="694" spans="1:16" x14ac:dyDescent="0.3">
      <c r="A694" s="6">
        <v>687</v>
      </c>
      <c r="B694" t="s">
        <v>1042</v>
      </c>
      <c r="C694" s="2" t="s">
        <v>1043</v>
      </c>
      <c r="D694" t="s">
        <v>15</v>
      </c>
      <c r="F694" t="s">
        <v>1599</v>
      </c>
      <c r="G694" t="s">
        <v>1606</v>
      </c>
      <c r="H694" s="5">
        <v>25</v>
      </c>
      <c r="J694">
        <v>160</v>
      </c>
      <c r="P694" s="6">
        <v>110</v>
      </c>
    </row>
    <row r="695" spans="1:16" x14ac:dyDescent="0.3">
      <c r="A695" s="6">
        <v>688</v>
      </c>
      <c r="B695" t="s">
        <v>595</v>
      </c>
      <c r="C695" s="2" t="s">
        <v>1044</v>
      </c>
      <c r="D695" t="s">
        <v>15</v>
      </c>
      <c r="F695" t="s">
        <v>1599</v>
      </c>
      <c r="G695" t="s">
        <v>1606</v>
      </c>
      <c r="H695" s="5">
        <v>36</v>
      </c>
      <c r="J695">
        <v>530</v>
      </c>
      <c r="P695" s="6">
        <v>415</v>
      </c>
    </row>
    <row r="696" spans="1:16" x14ac:dyDescent="0.3">
      <c r="A696" s="6">
        <v>689</v>
      </c>
      <c r="B696" t="s">
        <v>595</v>
      </c>
      <c r="C696" s="2" t="s">
        <v>1045</v>
      </c>
      <c r="D696" t="s">
        <v>15</v>
      </c>
      <c r="F696" t="s">
        <v>1599</v>
      </c>
      <c r="G696" t="s">
        <v>1606</v>
      </c>
      <c r="H696" s="5">
        <v>22</v>
      </c>
      <c r="J696">
        <v>530</v>
      </c>
      <c r="P696" s="6">
        <v>415</v>
      </c>
    </row>
    <row r="697" spans="1:16" x14ac:dyDescent="0.3">
      <c r="A697" s="6">
        <v>690</v>
      </c>
      <c r="B697" t="s">
        <v>595</v>
      </c>
      <c r="C697" s="2" t="s">
        <v>1046</v>
      </c>
      <c r="D697" t="s">
        <v>15</v>
      </c>
      <c r="F697" t="s">
        <v>1599</v>
      </c>
      <c r="G697" t="s">
        <v>1606</v>
      </c>
      <c r="H697" s="5">
        <v>16</v>
      </c>
      <c r="J697">
        <v>200</v>
      </c>
      <c r="P697" s="6">
        <v>160</v>
      </c>
    </row>
    <row r="698" spans="1:16" x14ac:dyDescent="0.3">
      <c r="A698" s="6">
        <v>691</v>
      </c>
      <c r="B698" t="s">
        <v>593</v>
      </c>
      <c r="C698" s="2" t="s">
        <v>1047</v>
      </c>
      <c r="D698" t="s">
        <v>15</v>
      </c>
      <c r="F698" t="s">
        <v>1599</v>
      </c>
      <c r="G698" t="s">
        <v>1606</v>
      </c>
      <c r="H698" s="5">
        <v>48</v>
      </c>
      <c r="J698">
        <v>125</v>
      </c>
      <c r="P698" s="6">
        <v>95</v>
      </c>
    </row>
    <row r="699" spans="1:16" x14ac:dyDescent="0.3">
      <c r="A699" s="6">
        <v>692</v>
      </c>
      <c r="B699" t="s">
        <v>1048</v>
      </c>
      <c r="C699" s="2">
        <v>1967</v>
      </c>
      <c r="D699" t="s">
        <v>15</v>
      </c>
      <c r="F699" t="s">
        <v>1599</v>
      </c>
      <c r="G699" t="s">
        <v>1606</v>
      </c>
      <c r="H699" s="5">
        <v>170</v>
      </c>
      <c r="J699">
        <v>70</v>
      </c>
      <c r="P699" s="6">
        <v>50</v>
      </c>
    </row>
    <row r="700" spans="1:16" x14ac:dyDescent="0.3">
      <c r="A700" s="6">
        <v>693</v>
      </c>
      <c r="B700" t="s">
        <v>1049</v>
      </c>
      <c r="D700" t="s">
        <v>15</v>
      </c>
      <c r="F700" t="s">
        <v>1599</v>
      </c>
      <c r="G700" t="s">
        <v>1606</v>
      </c>
      <c r="H700" s="5">
        <v>100</v>
      </c>
      <c r="J700">
        <v>170</v>
      </c>
      <c r="P700" s="6">
        <v>135</v>
      </c>
    </row>
    <row r="701" spans="1:16" x14ac:dyDescent="0.3">
      <c r="A701" s="6">
        <v>694</v>
      </c>
      <c r="B701" t="s">
        <v>1050</v>
      </c>
      <c r="C701" s="2" t="s">
        <v>1051</v>
      </c>
      <c r="D701" t="s">
        <v>15</v>
      </c>
      <c r="F701" t="s">
        <v>1599</v>
      </c>
      <c r="G701" t="s">
        <v>1606</v>
      </c>
      <c r="H701" s="5">
        <v>56</v>
      </c>
      <c r="J701">
        <v>125</v>
      </c>
      <c r="P701" s="6">
        <v>95</v>
      </c>
    </row>
    <row r="702" spans="1:16" x14ac:dyDescent="0.3">
      <c r="A702" s="6">
        <v>695</v>
      </c>
      <c r="B702" t="s">
        <v>1052</v>
      </c>
      <c r="C702" s="2" t="s">
        <v>1053</v>
      </c>
      <c r="D702" t="s">
        <v>15</v>
      </c>
      <c r="F702" t="s">
        <v>1599</v>
      </c>
      <c r="G702" t="s">
        <v>1606</v>
      </c>
      <c r="H702" s="5">
        <v>37</v>
      </c>
      <c r="J702">
        <v>290</v>
      </c>
      <c r="P702" s="6">
        <v>230</v>
      </c>
    </row>
    <row r="703" spans="1:16" x14ac:dyDescent="0.3">
      <c r="A703" s="6">
        <v>696</v>
      </c>
      <c r="B703" t="s">
        <v>1054</v>
      </c>
      <c r="C703" s="7" t="s">
        <v>647</v>
      </c>
      <c r="D703" t="s">
        <v>15</v>
      </c>
      <c r="F703" t="s">
        <v>1599</v>
      </c>
      <c r="G703" t="s">
        <v>1606</v>
      </c>
      <c r="H703" s="5">
        <v>49</v>
      </c>
      <c r="J703">
        <v>55</v>
      </c>
      <c r="P703" s="6">
        <v>42</v>
      </c>
    </row>
    <row r="704" spans="1:16" x14ac:dyDescent="0.3">
      <c r="A704" s="6">
        <v>697</v>
      </c>
      <c r="B704" t="s">
        <v>1055</v>
      </c>
      <c r="C704" s="7" t="s">
        <v>458</v>
      </c>
      <c r="D704" t="s">
        <v>15</v>
      </c>
      <c r="F704" t="s">
        <v>1599</v>
      </c>
      <c r="G704" t="s">
        <v>1606</v>
      </c>
      <c r="H704" s="5">
        <v>30</v>
      </c>
      <c r="J704">
        <v>55</v>
      </c>
      <c r="P704" s="6">
        <v>42</v>
      </c>
    </row>
    <row r="705" spans="1:16" x14ac:dyDescent="0.3">
      <c r="A705" s="6">
        <v>698</v>
      </c>
      <c r="B705" t="s">
        <v>1056</v>
      </c>
      <c r="C705" s="2" t="s">
        <v>1057</v>
      </c>
      <c r="D705" t="s">
        <v>15</v>
      </c>
      <c r="F705" t="s">
        <v>1599</v>
      </c>
      <c r="G705" t="s">
        <v>1606</v>
      </c>
      <c r="H705" s="5">
        <v>52</v>
      </c>
      <c r="J705">
        <v>80</v>
      </c>
      <c r="P705" s="6">
        <v>52</v>
      </c>
    </row>
    <row r="706" spans="1:16" x14ac:dyDescent="0.3">
      <c r="A706" s="6">
        <v>699</v>
      </c>
      <c r="B706" t="s">
        <v>1056</v>
      </c>
      <c r="C706" s="2" t="s">
        <v>1058</v>
      </c>
      <c r="D706" t="s">
        <v>15</v>
      </c>
      <c r="F706" t="s">
        <v>1599</v>
      </c>
      <c r="G706" t="s">
        <v>1606</v>
      </c>
      <c r="H706" s="5">
        <v>11</v>
      </c>
      <c r="J706">
        <v>90</v>
      </c>
      <c r="P706" s="6">
        <v>61</v>
      </c>
    </row>
    <row r="707" spans="1:16" x14ac:dyDescent="0.3">
      <c r="A707" s="6">
        <v>700</v>
      </c>
      <c r="B707" t="s">
        <v>1059</v>
      </c>
      <c r="C707" s="2" t="s">
        <v>1060</v>
      </c>
      <c r="D707" t="s">
        <v>15</v>
      </c>
      <c r="F707" t="s">
        <v>1599</v>
      </c>
      <c r="G707" t="s">
        <v>1606</v>
      </c>
      <c r="H707" s="5">
        <v>47</v>
      </c>
      <c r="J707">
        <v>255</v>
      </c>
      <c r="P707" s="6">
        <v>175</v>
      </c>
    </row>
    <row r="708" spans="1:16" x14ac:dyDescent="0.3">
      <c r="A708" s="6">
        <v>701</v>
      </c>
      <c r="B708" t="s">
        <v>1062</v>
      </c>
      <c r="C708" s="2" t="s">
        <v>1063</v>
      </c>
      <c r="D708" t="s">
        <v>15</v>
      </c>
      <c r="F708" t="s">
        <v>1599</v>
      </c>
      <c r="G708" t="s">
        <v>1606</v>
      </c>
      <c r="H708" s="5">
        <v>23</v>
      </c>
      <c r="J708">
        <v>250</v>
      </c>
      <c r="P708" s="6">
        <v>195</v>
      </c>
    </row>
    <row r="709" spans="1:16" x14ac:dyDescent="0.3">
      <c r="A709" s="6">
        <v>702</v>
      </c>
      <c r="B709" t="s">
        <v>501</v>
      </c>
      <c r="C709" s="2" t="s">
        <v>1064</v>
      </c>
      <c r="D709" t="s">
        <v>15</v>
      </c>
      <c r="F709" t="s">
        <v>1599</v>
      </c>
      <c r="G709" t="s">
        <v>1606</v>
      </c>
      <c r="H709" s="5">
        <v>180</v>
      </c>
      <c r="J709">
        <v>95</v>
      </c>
      <c r="P709" s="6">
        <v>75</v>
      </c>
    </row>
    <row r="710" spans="1:16" x14ac:dyDescent="0.3">
      <c r="A710" s="6">
        <v>703</v>
      </c>
      <c r="B710" t="s">
        <v>975</v>
      </c>
      <c r="C710" s="2" t="s">
        <v>1065</v>
      </c>
      <c r="D710" t="s">
        <v>15</v>
      </c>
      <c r="F710" t="s">
        <v>1599</v>
      </c>
      <c r="G710" t="s">
        <v>1606</v>
      </c>
      <c r="H710" s="5">
        <v>68</v>
      </c>
      <c r="J710">
        <v>135</v>
      </c>
      <c r="P710" s="6">
        <v>125</v>
      </c>
    </row>
    <row r="711" spans="1:16" x14ac:dyDescent="0.3">
      <c r="A711" s="6">
        <v>704</v>
      </c>
      <c r="B711" t="s">
        <v>1026</v>
      </c>
      <c r="C711" s="2" t="s">
        <v>1066</v>
      </c>
      <c r="D711" t="s">
        <v>15</v>
      </c>
      <c r="F711" t="s">
        <v>1599</v>
      </c>
      <c r="G711" t="s">
        <v>1606</v>
      </c>
      <c r="H711" s="5">
        <v>140</v>
      </c>
      <c r="J711">
        <v>110</v>
      </c>
      <c r="P711" s="6">
        <v>90</v>
      </c>
    </row>
    <row r="712" spans="1:16" x14ac:dyDescent="0.3">
      <c r="A712" s="6">
        <v>705</v>
      </c>
      <c r="B712" t="s">
        <v>1067</v>
      </c>
      <c r="C712" s="2">
        <v>1236</v>
      </c>
      <c r="D712" t="s">
        <v>15</v>
      </c>
      <c r="F712" t="s">
        <v>1599</v>
      </c>
      <c r="G712" t="s">
        <v>1606</v>
      </c>
      <c r="H712" s="5">
        <v>80</v>
      </c>
      <c r="J712">
        <v>150</v>
      </c>
      <c r="P712" s="6">
        <v>110</v>
      </c>
    </row>
    <row r="713" spans="1:16" x14ac:dyDescent="0.3">
      <c r="A713" s="6">
        <v>706</v>
      </c>
      <c r="B713" t="s">
        <v>1068</v>
      </c>
      <c r="C713" s="2" t="s">
        <v>1069</v>
      </c>
      <c r="D713" t="s">
        <v>15</v>
      </c>
      <c r="F713" t="s">
        <v>1599</v>
      </c>
      <c r="G713" t="s">
        <v>1606</v>
      </c>
      <c r="H713" s="5">
        <v>107</v>
      </c>
      <c r="J713">
        <v>90</v>
      </c>
      <c r="P713" s="6">
        <v>90</v>
      </c>
    </row>
    <row r="714" spans="1:16" x14ac:dyDescent="0.3">
      <c r="A714" s="6">
        <v>707</v>
      </c>
      <c r="B714" t="s">
        <v>1070</v>
      </c>
      <c r="C714" s="2" t="s">
        <v>1071</v>
      </c>
      <c r="D714" t="s">
        <v>15</v>
      </c>
      <c r="F714" t="s">
        <v>1599</v>
      </c>
      <c r="G714" t="s">
        <v>1606</v>
      </c>
      <c r="H714" s="5">
        <v>99</v>
      </c>
      <c r="J714">
        <v>85</v>
      </c>
      <c r="P714" s="6">
        <v>50</v>
      </c>
    </row>
    <row r="715" spans="1:16" x14ac:dyDescent="0.3">
      <c r="A715" s="6">
        <v>708</v>
      </c>
      <c r="B715" t="s">
        <v>1062</v>
      </c>
      <c r="C715" s="2" t="s">
        <v>1072</v>
      </c>
      <c r="D715" t="s">
        <v>15</v>
      </c>
      <c r="F715" t="s">
        <v>1599</v>
      </c>
      <c r="G715" t="s">
        <v>1606</v>
      </c>
      <c r="H715" s="5">
        <v>59</v>
      </c>
      <c r="J715">
        <v>360</v>
      </c>
      <c r="P715" s="6">
        <v>278</v>
      </c>
    </row>
    <row r="716" spans="1:16" x14ac:dyDescent="0.3">
      <c r="A716" s="6">
        <v>709</v>
      </c>
      <c r="B716" t="s">
        <v>1073</v>
      </c>
      <c r="C716" s="2">
        <v>8101</v>
      </c>
      <c r="D716" t="s">
        <v>15</v>
      </c>
      <c r="F716" t="s">
        <v>1599</v>
      </c>
      <c r="G716" t="s">
        <v>1606</v>
      </c>
      <c r="H716" s="5">
        <v>42</v>
      </c>
      <c r="J716">
        <v>120</v>
      </c>
      <c r="P716" s="6">
        <v>88</v>
      </c>
    </row>
    <row r="717" spans="1:16" x14ac:dyDescent="0.3">
      <c r="A717" s="6">
        <v>710</v>
      </c>
      <c r="B717" t="s">
        <v>1074</v>
      </c>
      <c r="C717" s="2" t="s">
        <v>1075</v>
      </c>
      <c r="D717" t="s">
        <v>15</v>
      </c>
      <c r="F717" t="s">
        <v>1599</v>
      </c>
      <c r="G717" t="s">
        <v>1606</v>
      </c>
      <c r="H717" s="5">
        <v>34</v>
      </c>
      <c r="J717">
        <v>160</v>
      </c>
      <c r="P717" s="6">
        <v>125</v>
      </c>
    </row>
    <row r="718" spans="1:16" x14ac:dyDescent="0.3">
      <c r="A718" s="6">
        <v>711</v>
      </c>
      <c r="B718" t="s">
        <v>1076</v>
      </c>
      <c r="C718" s="2" t="s">
        <v>1077</v>
      </c>
      <c r="D718" t="s">
        <v>15</v>
      </c>
      <c r="F718" t="s">
        <v>1599</v>
      </c>
      <c r="G718" t="s">
        <v>1606</v>
      </c>
      <c r="H718" s="5">
        <v>114</v>
      </c>
      <c r="J718">
        <v>135</v>
      </c>
      <c r="P718" s="6">
        <v>125</v>
      </c>
    </row>
    <row r="719" spans="1:16" x14ac:dyDescent="0.3">
      <c r="A719" s="6">
        <v>712</v>
      </c>
      <c r="B719" t="s">
        <v>1078</v>
      </c>
      <c r="C719" s="2" t="s">
        <v>1079</v>
      </c>
      <c r="D719" t="s">
        <v>15</v>
      </c>
      <c r="F719" t="s">
        <v>1599</v>
      </c>
      <c r="G719" t="s">
        <v>1606</v>
      </c>
      <c r="H719" s="5">
        <v>32</v>
      </c>
      <c r="J719">
        <v>450</v>
      </c>
      <c r="P719" s="6">
        <v>327</v>
      </c>
    </row>
    <row r="720" spans="1:16" x14ac:dyDescent="0.3">
      <c r="A720" s="6">
        <v>713</v>
      </c>
      <c r="B720" t="s">
        <v>1080</v>
      </c>
      <c r="C720" s="2" t="s">
        <v>1081</v>
      </c>
      <c r="D720" t="s">
        <v>15</v>
      </c>
      <c r="F720" t="s">
        <v>1599</v>
      </c>
      <c r="G720" t="s">
        <v>1606</v>
      </c>
      <c r="H720" s="5">
        <v>64</v>
      </c>
      <c r="J720">
        <v>150</v>
      </c>
      <c r="P720" s="6">
        <v>125</v>
      </c>
    </row>
    <row r="721" spans="1:16" x14ac:dyDescent="0.3">
      <c r="A721" s="6">
        <v>714</v>
      </c>
      <c r="B721" t="s">
        <v>1082</v>
      </c>
      <c r="C721" s="2">
        <v>1688</v>
      </c>
      <c r="D721" t="s">
        <v>15</v>
      </c>
      <c r="F721" t="s">
        <v>1599</v>
      </c>
      <c r="G721" t="s">
        <v>1606</v>
      </c>
      <c r="H721" s="5">
        <v>21</v>
      </c>
      <c r="J721">
        <v>400</v>
      </c>
      <c r="P721" s="6">
        <v>291</v>
      </c>
    </row>
    <row r="722" spans="1:16" x14ac:dyDescent="0.3">
      <c r="A722" s="6">
        <v>715</v>
      </c>
      <c r="B722" t="s">
        <v>1084</v>
      </c>
      <c r="C722" s="2" t="s">
        <v>1083</v>
      </c>
      <c r="D722" t="s">
        <v>15</v>
      </c>
      <c r="F722" t="s">
        <v>1599</v>
      </c>
      <c r="G722" t="s">
        <v>1606</v>
      </c>
      <c r="H722" s="5">
        <v>15</v>
      </c>
      <c r="J722">
        <v>690</v>
      </c>
      <c r="P722" s="6">
        <v>521</v>
      </c>
    </row>
    <row r="723" spans="1:16" x14ac:dyDescent="0.3">
      <c r="A723" s="6">
        <v>716</v>
      </c>
      <c r="B723" t="s">
        <v>1085</v>
      </c>
      <c r="D723" t="s">
        <v>208</v>
      </c>
      <c r="F723" t="s">
        <v>1599</v>
      </c>
      <c r="G723" t="s">
        <v>1606</v>
      </c>
      <c r="H723" s="5">
        <v>62</v>
      </c>
      <c r="J723">
        <v>450</v>
      </c>
      <c r="P723" s="6">
        <v>350</v>
      </c>
    </row>
    <row r="724" spans="1:16" x14ac:dyDescent="0.3">
      <c r="A724" s="6">
        <v>717</v>
      </c>
      <c r="B724" t="s">
        <v>1086</v>
      </c>
      <c r="C724" s="2" t="s">
        <v>1087</v>
      </c>
      <c r="D724" t="s">
        <v>15</v>
      </c>
      <c r="F724" t="s">
        <v>1599</v>
      </c>
      <c r="G724" t="s">
        <v>1606</v>
      </c>
      <c r="H724" s="5">
        <v>150</v>
      </c>
      <c r="J724">
        <v>60</v>
      </c>
      <c r="P724" s="6">
        <v>45</v>
      </c>
    </row>
    <row r="725" spans="1:16" x14ac:dyDescent="0.3">
      <c r="A725" s="6">
        <v>718</v>
      </c>
      <c r="B725" t="s">
        <v>1088</v>
      </c>
      <c r="C725" s="2" t="s">
        <v>1089</v>
      </c>
      <c r="D725" t="s">
        <v>15</v>
      </c>
      <c r="F725" t="s">
        <v>1599</v>
      </c>
      <c r="G725" t="s">
        <v>1606</v>
      </c>
      <c r="H725" s="5">
        <v>24</v>
      </c>
      <c r="J725">
        <v>280</v>
      </c>
      <c r="P725" s="6">
        <v>196</v>
      </c>
    </row>
    <row r="726" spans="1:16" x14ac:dyDescent="0.3">
      <c r="A726" s="6">
        <v>719</v>
      </c>
      <c r="B726" t="s">
        <v>1090</v>
      </c>
      <c r="C726" s="2" t="s">
        <v>1091</v>
      </c>
      <c r="D726" t="s">
        <v>15</v>
      </c>
      <c r="F726" t="s">
        <v>1599</v>
      </c>
      <c r="G726" t="s">
        <v>1606</v>
      </c>
      <c r="H726" s="5">
        <v>40</v>
      </c>
      <c r="J726">
        <v>325</v>
      </c>
      <c r="P726" s="6">
        <v>217</v>
      </c>
    </row>
    <row r="727" spans="1:16" x14ac:dyDescent="0.3">
      <c r="A727" s="6">
        <v>720</v>
      </c>
      <c r="B727" t="s">
        <v>55</v>
      </c>
      <c r="C727" s="2" t="s">
        <v>1092</v>
      </c>
      <c r="D727" t="s">
        <v>15</v>
      </c>
      <c r="F727" t="s">
        <v>1599</v>
      </c>
      <c r="G727" t="s">
        <v>1606</v>
      </c>
      <c r="H727" s="5">
        <v>11</v>
      </c>
      <c r="J727">
        <v>75</v>
      </c>
      <c r="P727" s="6">
        <v>50</v>
      </c>
    </row>
    <row r="728" spans="1:16" x14ac:dyDescent="0.3">
      <c r="A728" s="6">
        <v>721</v>
      </c>
      <c r="B728" t="s">
        <v>1061</v>
      </c>
      <c r="C728" s="2" t="s">
        <v>1093</v>
      </c>
      <c r="D728" t="s">
        <v>15</v>
      </c>
      <c r="F728" t="s">
        <v>1599</v>
      </c>
      <c r="G728" t="s">
        <v>1606</v>
      </c>
      <c r="H728" s="5">
        <v>16</v>
      </c>
      <c r="J728">
        <v>350</v>
      </c>
      <c r="P728" s="6">
        <v>275</v>
      </c>
    </row>
    <row r="729" spans="1:16" x14ac:dyDescent="0.3">
      <c r="A729" s="6">
        <v>722</v>
      </c>
      <c r="B729" t="s">
        <v>1094</v>
      </c>
      <c r="C729" s="7" t="s">
        <v>1095</v>
      </c>
      <c r="D729" t="s">
        <v>15</v>
      </c>
      <c r="F729" t="s">
        <v>1599</v>
      </c>
      <c r="G729" t="s">
        <v>1606</v>
      </c>
      <c r="H729" s="5">
        <v>96</v>
      </c>
      <c r="J729">
        <v>220</v>
      </c>
      <c r="P729" s="6">
        <v>156</v>
      </c>
    </row>
    <row r="730" spans="1:16" x14ac:dyDescent="0.3">
      <c r="A730" s="6">
        <v>723</v>
      </c>
      <c r="B730" t="s">
        <v>1096</v>
      </c>
      <c r="C730" s="2" t="s">
        <v>1097</v>
      </c>
      <c r="D730" t="s">
        <v>15</v>
      </c>
      <c r="F730" t="s">
        <v>1599</v>
      </c>
      <c r="G730" t="s">
        <v>1606</v>
      </c>
      <c r="H730" s="5">
        <v>15</v>
      </c>
      <c r="J730">
        <v>490</v>
      </c>
      <c r="P730" s="6">
        <v>385</v>
      </c>
    </row>
    <row r="731" spans="1:16" x14ac:dyDescent="0.3">
      <c r="A731" s="6">
        <v>724</v>
      </c>
      <c r="B731" t="s">
        <v>1098</v>
      </c>
      <c r="C731" s="2" t="s">
        <v>1099</v>
      </c>
      <c r="D731" t="s">
        <v>15</v>
      </c>
      <c r="F731" t="s">
        <v>1599</v>
      </c>
      <c r="G731" t="s">
        <v>1606</v>
      </c>
      <c r="H731" s="5">
        <v>6</v>
      </c>
      <c r="J731">
        <v>190</v>
      </c>
      <c r="P731" s="6">
        <v>120</v>
      </c>
    </row>
    <row r="732" spans="1:16" x14ac:dyDescent="0.3">
      <c r="A732" s="6">
        <v>725</v>
      </c>
      <c r="B732" t="s">
        <v>1100</v>
      </c>
      <c r="C732" s="2" t="s">
        <v>1101</v>
      </c>
      <c r="D732" t="s">
        <v>15</v>
      </c>
      <c r="F732" t="s">
        <v>1599</v>
      </c>
      <c r="G732" t="s">
        <v>1606</v>
      </c>
      <c r="H732" s="5">
        <v>11</v>
      </c>
      <c r="J732">
        <v>110</v>
      </c>
      <c r="P732" s="6">
        <v>85</v>
      </c>
    </row>
    <row r="733" spans="1:16" x14ac:dyDescent="0.3">
      <c r="A733" s="6">
        <v>726</v>
      </c>
      <c r="B733" t="s">
        <v>1102</v>
      </c>
      <c r="C733" s="2" t="s">
        <v>1103</v>
      </c>
      <c r="D733" t="s">
        <v>15</v>
      </c>
      <c r="F733" t="s">
        <v>1599</v>
      </c>
      <c r="G733" t="s">
        <v>1606</v>
      </c>
      <c r="H733" s="5">
        <v>15</v>
      </c>
      <c r="J733">
        <v>200</v>
      </c>
      <c r="P733" s="6">
        <v>149</v>
      </c>
    </row>
    <row r="734" spans="1:16" x14ac:dyDescent="0.3">
      <c r="A734" s="6">
        <v>727</v>
      </c>
      <c r="B734" t="s">
        <v>1104</v>
      </c>
      <c r="C734" s="2">
        <v>3334</v>
      </c>
      <c r="D734" t="s">
        <v>15</v>
      </c>
      <c r="F734" t="s">
        <v>1599</v>
      </c>
      <c r="G734" t="s">
        <v>1606</v>
      </c>
      <c r="H734" s="5">
        <v>4</v>
      </c>
      <c r="J734">
        <v>295</v>
      </c>
      <c r="P734" s="6">
        <v>199</v>
      </c>
    </row>
    <row r="735" spans="1:16" x14ac:dyDescent="0.3">
      <c r="A735" s="6">
        <v>728</v>
      </c>
      <c r="B735" t="s">
        <v>1105</v>
      </c>
      <c r="C735" s="2">
        <v>8813</v>
      </c>
      <c r="D735" t="s">
        <v>15</v>
      </c>
      <c r="F735" t="s">
        <v>1599</v>
      </c>
      <c r="G735" t="s">
        <v>1606</v>
      </c>
      <c r="H735" s="5">
        <v>3</v>
      </c>
      <c r="J735">
        <v>295</v>
      </c>
      <c r="P735" s="6">
        <v>210</v>
      </c>
    </row>
    <row r="736" spans="1:16" x14ac:dyDescent="0.3">
      <c r="A736" s="6">
        <v>729</v>
      </c>
      <c r="B736" t="s">
        <v>1062</v>
      </c>
      <c r="C736" s="2" t="s">
        <v>1106</v>
      </c>
      <c r="D736" t="s">
        <v>15</v>
      </c>
      <c r="F736" t="s">
        <v>1599</v>
      </c>
      <c r="G736" t="s">
        <v>1606</v>
      </c>
      <c r="H736" s="5">
        <v>3</v>
      </c>
      <c r="J736">
        <v>270</v>
      </c>
      <c r="P736" s="6">
        <v>214</v>
      </c>
    </row>
    <row r="737" spans="1:16" x14ac:dyDescent="0.3">
      <c r="A737" s="6">
        <v>730</v>
      </c>
      <c r="B737" t="s">
        <v>1107</v>
      </c>
      <c r="C737" s="2" t="s">
        <v>1108</v>
      </c>
      <c r="D737" t="s">
        <v>15</v>
      </c>
      <c r="F737" t="s">
        <v>1599</v>
      </c>
      <c r="G737" t="s">
        <v>1606</v>
      </c>
      <c r="H737" s="5">
        <v>5</v>
      </c>
      <c r="J737">
        <v>290</v>
      </c>
      <c r="P737" s="6">
        <v>201</v>
      </c>
    </row>
    <row r="738" spans="1:16" x14ac:dyDescent="0.3">
      <c r="A738" s="6">
        <v>731</v>
      </c>
      <c r="B738" t="s">
        <v>1109</v>
      </c>
      <c r="C738" s="2" t="s">
        <v>1110</v>
      </c>
      <c r="D738" t="s">
        <v>15</v>
      </c>
      <c r="F738" t="s">
        <v>1599</v>
      </c>
      <c r="G738" t="s">
        <v>1606</v>
      </c>
      <c r="H738" s="5">
        <v>24</v>
      </c>
      <c r="J738">
        <v>370</v>
      </c>
      <c r="P738" s="6">
        <v>270</v>
      </c>
    </row>
    <row r="739" spans="1:16" x14ac:dyDescent="0.3">
      <c r="A739" s="6">
        <v>732</v>
      </c>
      <c r="B739" t="s">
        <v>1111</v>
      </c>
      <c r="C739" s="2" t="s">
        <v>1112</v>
      </c>
      <c r="D739" t="s">
        <v>15</v>
      </c>
      <c r="F739" t="s">
        <v>1599</v>
      </c>
      <c r="G739" t="s">
        <v>1606</v>
      </c>
      <c r="H739" s="5">
        <v>2</v>
      </c>
      <c r="J739">
        <v>240</v>
      </c>
      <c r="P739" s="6">
        <v>180</v>
      </c>
    </row>
    <row r="740" spans="1:16" x14ac:dyDescent="0.3">
      <c r="A740" s="6">
        <v>733</v>
      </c>
      <c r="B740" t="s">
        <v>1113</v>
      </c>
      <c r="C740" s="2" t="s">
        <v>1114</v>
      </c>
      <c r="D740" t="s">
        <v>208</v>
      </c>
      <c r="F740" t="s">
        <v>1599</v>
      </c>
      <c r="G740" t="s">
        <v>1606</v>
      </c>
      <c r="H740" s="5">
        <v>32</v>
      </c>
      <c r="J740">
        <v>420</v>
      </c>
      <c r="P740" s="6">
        <v>300</v>
      </c>
    </row>
    <row r="741" spans="1:16" x14ac:dyDescent="0.3">
      <c r="A741" s="6">
        <v>734</v>
      </c>
      <c r="B741" t="s">
        <v>1115</v>
      </c>
      <c r="C741" s="2" t="s">
        <v>1116</v>
      </c>
      <c r="D741" t="s">
        <v>15</v>
      </c>
      <c r="F741" t="s">
        <v>1599</v>
      </c>
      <c r="G741" t="s">
        <v>1606</v>
      </c>
      <c r="H741" s="5">
        <v>79</v>
      </c>
      <c r="J741">
        <v>230</v>
      </c>
      <c r="P741" s="6">
        <v>145</v>
      </c>
    </row>
    <row r="742" spans="1:16" x14ac:dyDescent="0.3">
      <c r="A742" s="6">
        <v>735</v>
      </c>
      <c r="B742" t="s">
        <v>1061</v>
      </c>
      <c r="C742" s="2" t="s">
        <v>1117</v>
      </c>
      <c r="D742" t="s">
        <v>15</v>
      </c>
      <c r="F742" t="s">
        <v>1599</v>
      </c>
      <c r="G742" t="s">
        <v>1606</v>
      </c>
      <c r="H742" s="5">
        <v>5</v>
      </c>
      <c r="J742">
        <v>850</v>
      </c>
      <c r="P742" s="6">
        <v>685</v>
      </c>
    </row>
    <row r="743" spans="1:16" x14ac:dyDescent="0.3">
      <c r="A743" s="6">
        <v>736</v>
      </c>
      <c r="B743" t="s">
        <v>1061</v>
      </c>
      <c r="C743" s="2" t="s">
        <v>1118</v>
      </c>
      <c r="D743" t="s">
        <v>15</v>
      </c>
      <c r="F743" t="s">
        <v>1599</v>
      </c>
      <c r="G743" t="s">
        <v>1606</v>
      </c>
      <c r="H743" s="5">
        <v>64</v>
      </c>
      <c r="J743">
        <v>280</v>
      </c>
      <c r="P743" s="6">
        <v>225</v>
      </c>
    </row>
    <row r="744" spans="1:16" x14ac:dyDescent="0.3">
      <c r="A744" s="6">
        <v>737</v>
      </c>
      <c r="B744" t="s">
        <v>749</v>
      </c>
      <c r="C744" s="2" t="s">
        <v>1119</v>
      </c>
      <c r="D744" t="s">
        <v>15</v>
      </c>
      <c r="F744" t="s">
        <v>1599</v>
      </c>
      <c r="G744" t="s">
        <v>1606</v>
      </c>
      <c r="H744" s="5">
        <v>8</v>
      </c>
      <c r="J744">
        <v>180</v>
      </c>
      <c r="P744" s="6">
        <v>125</v>
      </c>
    </row>
    <row r="745" spans="1:16" x14ac:dyDescent="0.3">
      <c r="A745" s="6">
        <v>738</v>
      </c>
      <c r="B745" t="s">
        <v>1120</v>
      </c>
      <c r="C745" s="2" t="s">
        <v>1121</v>
      </c>
      <c r="D745" t="s">
        <v>15</v>
      </c>
      <c r="F745" t="s">
        <v>1599</v>
      </c>
      <c r="G745" t="s">
        <v>1606</v>
      </c>
      <c r="H745" s="5">
        <v>20</v>
      </c>
      <c r="J745">
        <v>290</v>
      </c>
      <c r="P745" s="6">
        <v>225</v>
      </c>
    </row>
    <row r="746" spans="1:16" x14ac:dyDescent="0.3">
      <c r="A746" s="6">
        <v>739</v>
      </c>
      <c r="B746" t="s">
        <v>1122</v>
      </c>
      <c r="C746" s="2" t="s">
        <v>1123</v>
      </c>
      <c r="D746" t="s">
        <v>15</v>
      </c>
      <c r="F746" t="s">
        <v>1599</v>
      </c>
      <c r="G746" t="s">
        <v>1606</v>
      </c>
      <c r="H746" s="5">
        <v>20</v>
      </c>
      <c r="J746">
        <v>145</v>
      </c>
      <c r="P746" s="6">
        <v>110</v>
      </c>
    </row>
    <row r="747" spans="1:16" x14ac:dyDescent="0.3">
      <c r="A747" s="6">
        <v>740</v>
      </c>
      <c r="B747" t="s">
        <v>1124</v>
      </c>
      <c r="C747" s="2">
        <v>8998</v>
      </c>
      <c r="D747" t="s">
        <v>15</v>
      </c>
      <c r="F747" t="s">
        <v>1599</v>
      </c>
      <c r="G747" t="s">
        <v>1606</v>
      </c>
      <c r="H747" s="5">
        <v>15</v>
      </c>
      <c r="J747">
        <v>330</v>
      </c>
      <c r="P747" s="6">
        <v>220</v>
      </c>
    </row>
    <row r="748" spans="1:16" x14ac:dyDescent="0.3">
      <c r="A748" s="6">
        <v>741</v>
      </c>
      <c r="B748" t="s">
        <v>1125</v>
      </c>
      <c r="C748" s="2" t="s">
        <v>1126</v>
      </c>
      <c r="D748" t="s">
        <v>15</v>
      </c>
      <c r="F748" t="s">
        <v>1599</v>
      </c>
      <c r="G748" t="s">
        <v>1606</v>
      </c>
      <c r="H748" s="5">
        <v>32</v>
      </c>
      <c r="J748">
        <v>85</v>
      </c>
      <c r="P748" s="6">
        <v>68</v>
      </c>
    </row>
    <row r="749" spans="1:16" x14ac:dyDescent="0.3">
      <c r="A749" s="6">
        <v>742</v>
      </c>
      <c r="B749" t="s">
        <v>1127</v>
      </c>
      <c r="C749" s="2" t="s">
        <v>1128</v>
      </c>
      <c r="D749" t="s">
        <v>15</v>
      </c>
      <c r="F749" t="s">
        <v>1599</v>
      </c>
      <c r="G749" t="s">
        <v>1606</v>
      </c>
      <c r="H749" s="5">
        <v>29</v>
      </c>
      <c r="J749">
        <v>65</v>
      </c>
      <c r="P749" s="6">
        <v>50</v>
      </c>
    </row>
    <row r="750" spans="1:16" x14ac:dyDescent="0.3">
      <c r="A750" s="6">
        <v>743</v>
      </c>
      <c r="B750" t="s">
        <v>1129</v>
      </c>
      <c r="D750" t="s">
        <v>15</v>
      </c>
      <c r="F750" t="s">
        <v>1599</v>
      </c>
      <c r="G750" t="s">
        <v>1606</v>
      </c>
      <c r="H750" s="5">
        <v>25</v>
      </c>
      <c r="J750">
        <v>85</v>
      </c>
      <c r="P750" s="6">
        <v>72</v>
      </c>
    </row>
    <row r="751" spans="1:16" x14ac:dyDescent="0.3">
      <c r="A751" s="6">
        <v>744</v>
      </c>
      <c r="B751" t="s">
        <v>1130</v>
      </c>
      <c r="C751" s="2" t="s">
        <v>1131</v>
      </c>
      <c r="D751" t="s">
        <v>15</v>
      </c>
      <c r="F751" t="s">
        <v>1599</v>
      </c>
      <c r="G751" t="s">
        <v>1606</v>
      </c>
      <c r="H751" s="5">
        <v>6</v>
      </c>
      <c r="J751">
        <v>190</v>
      </c>
      <c r="P751" s="6">
        <v>150</v>
      </c>
    </row>
    <row r="752" spans="1:16" x14ac:dyDescent="0.3">
      <c r="A752" s="6">
        <v>745</v>
      </c>
      <c r="B752" t="s">
        <v>1061</v>
      </c>
      <c r="C752" s="2" t="s">
        <v>1132</v>
      </c>
      <c r="D752" t="s">
        <v>15</v>
      </c>
      <c r="F752" t="s">
        <v>1599</v>
      </c>
      <c r="G752" t="s">
        <v>1606</v>
      </c>
      <c r="H752" s="5">
        <v>27</v>
      </c>
      <c r="J752">
        <v>245</v>
      </c>
      <c r="P752" s="6">
        <v>195</v>
      </c>
    </row>
    <row r="753" spans="1:16" x14ac:dyDescent="0.3">
      <c r="A753" s="6">
        <v>746</v>
      </c>
      <c r="B753" t="s">
        <v>1133</v>
      </c>
      <c r="C753" s="2" t="s">
        <v>1134</v>
      </c>
      <c r="D753" t="s">
        <v>15</v>
      </c>
      <c r="F753" t="s">
        <v>1599</v>
      </c>
      <c r="G753" t="s">
        <v>1606</v>
      </c>
      <c r="H753" s="5">
        <v>324</v>
      </c>
      <c r="J753">
        <v>80</v>
      </c>
      <c r="P753" s="6">
        <v>60</v>
      </c>
    </row>
    <row r="754" spans="1:16" x14ac:dyDescent="0.3">
      <c r="A754" s="6">
        <v>747</v>
      </c>
      <c r="B754" t="s">
        <v>1135</v>
      </c>
      <c r="C754" s="2" t="s">
        <v>1136</v>
      </c>
      <c r="D754" t="s">
        <v>15</v>
      </c>
      <c r="F754" t="s">
        <v>1599</v>
      </c>
      <c r="G754" t="s">
        <v>1606</v>
      </c>
      <c r="H754" s="5">
        <v>80</v>
      </c>
      <c r="J754">
        <v>175</v>
      </c>
      <c r="P754" s="6">
        <v>145</v>
      </c>
    </row>
    <row r="755" spans="1:16" x14ac:dyDescent="0.3">
      <c r="A755" s="6">
        <v>748</v>
      </c>
      <c r="B755" t="s">
        <v>1137</v>
      </c>
      <c r="D755" t="s">
        <v>208</v>
      </c>
      <c r="F755" t="s">
        <v>1599</v>
      </c>
      <c r="G755" t="s">
        <v>1606</v>
      </c>
      <c r="H755" s="5">
        <v>6</v>
      </c>
      <c r="J755">
        <v>195</v>
      </c>
      <c r="P755" s="6">
        <v>140</v>
      </c>
    </row>
    <row r="756" spans="1:16" x14ac:dyDescent="0.3">
      <c r="A756" s="6">
        <v>749</v>
      </c>
      <c r="B756" t="s">
        <v>1094</v>
      </c>
      <c r="C756" s="2">
        <v>948</v>
      </c>
      <c r="D756" t="s">
        <v>15</v>
      </c>
      <c r="F756" t="s">
        <v>1599</v>
      </c>
      <c r="G756" t="s">
        <v>1606</v>
      </c>
      <c r="H756" s="5">
        <v>37</v>
      </c>
      <c r="J756">
        <v>590</v>
      </c>
      <c r="P756" s="6">
        <v>425</v>
      </c>
    </row>
    <row r="757" spans="1:16" x14ac:dyDescent="0.3">
      <c r="A757" s="6">
        <v>750</v>
      </c>
      <c r="B757" t="s">
        <v>1138</v>
      </c>
      <c r="C757" s="2" t="s">
        <v>1139</v>
      </c>
      <c r="D757" t="s">
        <v>15</v>
      </c>
      <c r="F757" t="s">
        <v>1599</v>
      </c>
      <c r="G757" t="s">
        <v>1606</v>
      </c>
      <c r="H757" s="5">
        <v>43</v>
      </c>
      <c r="J757">
        <v>220</v>
      </c>
      <c r="P757" s="6">
        <v>140</v>
      </c>
    </row>
    <row r="758" spans="1:16" x14ac:dyDescent="0.3">
      <c r="A758" s="6">
        <v>751</v>
      </c>
      <c r="B758" t="s">
        <v>1140</v>
      </c>
      <c r="C758" s="2" t="s">
        <v>1141</v>
      </c>
      <c r="D758" t="s">
        <v>15</v>
      </c>
      <c r="F758" t="s">
        <v>1599</v>
      </c>
      <c r="G758" t="s">
        <v>1606</v>
      </c>
      <c r="H758" s="5">
        <v>32</v>
      </c>
      <c r="J758">
        <v>670</v>
      </c>
      <c r="P758" s="6">
        <v>445</v>
      </c>
    </row>
    <row r="759" spans="1:16" x14ac:dyDescent="0.3">
      <c r="A759" s="6">
        <v>752</v>
      </c>
      <c r="B759" t="s">
        <v>212</v>
      </c>
      <c r="C759" s="2" t="s">
        <v>1142</v>
      </c>
      <c r="D759" t="s">
        <v>15</v>
      </c>
      <c r="F759" t="s">
        <v>1599</v>
      </c>
      <c r="G759" t="s">
        <v>1606</v>
      </c>
      <c r="H759" s="5">
        <v>18</v>
      </c>
      <c r="J759">
        <v>950</v>
      </c>
      <c r="P759" s="6">
        <v>755</v>
      </c>
    </row>
    <row r="760" spans="1:16" x14ac:dyDescent="0.3">
      <c r="A760" s="6">
        <v>753</v>
      </c>
      <c r="B760" t="s">
        <v>1143</v>
      </c>
      <c r="C760" s="7" t="s">
        <v>1144</v>
      </c>
      <c r="D760" t="s">
        <v>15</v>
      </c>
      <c r="F760" t="s">
        <v>1599</v>
      </c>
      <c r="G760" t="s">
        <v>1606</v>
      </c>
      <c r="H760" s="5">
        <v>47</v>
      </c>
      <c r="J760">
        <v>40</v>
      </c>
      <c r="P760" s="6">
        <v>30</v>
      </c>
    </row>
    <row r="761" spans="1:16" x14ac:dyDescent="0.3">
      <c r="A761" s="6">
        <v>754</v>
      </c>
      <c r="B761" t="s">
        <v>1145</v>
      </c>
      <c r="C761" s="2" t="s">
        <v>1146</v>
      </c>
      <c r="D761" t="s">
        <v>15</v>
      </c>
      <c r="F761" t="s">
        <v>1599</v>
      </c>
      <c r="G761" t="s">
        <v>1606</v>
      </c>
      <c r="H761" s="5">
        <v>47</v>
      </c>
      <c r="J761">
        <v>100</v>
      </c>
      <c r="P761" s="6">
        <v>64</v>
      </c>
    </row>
    <row r="762" spans="1:16" x14ac:dyDescent="0.3">
      <c r="A762" s="6">
        <v>755</v>
      </c>
      <c r="B762" t="s">
        <v>1147</v>
      </c>
      <c r="C762" s="2" t="s">
        <v>1148</v>
      </c>
      <c r="D762" t="s">
        <v>15</v>
      </c>
      <c r="F762" t="s">
        <v>1599</v>
      </c>
      <c r="G762" t="s">
        <v>1606</v>
      </c>
      <c r="H762" s="5">
        <v>79</v>
      </c>
      <c r="J762">
        <v>150</v>
      </c>
      <c r="P762" s="6">
        <v>120</v>
      </c>
    </row>
    <row r="763" spans="1:16" x14ac:dyDescent="0.3">
      <c r="A763" s="6">
        <v>756</v>
      </c>
      <c r="B763" t="s">
        <v>1149</v>
      </c>
      <c r="C763" s="2" t="s">
        <v>1150</v>
      </c>
      <c r="D763" t="s">
        <v>15</v>
      </c>
      <c r="F763" t="s">
        <v>1599</v>
      </c>
      <c r="G763" t="s">
        <v>1606</v>
      </c>
      <c r="H763" s="5">
        <v>46</v>
      </c>
      <c r="J763">
        <v>130</v>
      </c>
      <c r="P763" s="6">
        <v>80</v>
      </c>
    </row>
    <row r="764" spans="1:16" x14ac:dyDescent="0.3">
      <c r="A764" s="6">
        <v>757</v>
      </c>
      <c r="B764" t="s">
        <v>1149</v>
      </c>
      <c r="C764" s="2" t="s">
        <v>1151</v>
      </c>
      <c r="D764" t="s">
        <v>15</v>
      </c>
      <c r="F764" t="s">
        <v>1599</v>
      </c>
      <c r="G764" t="s">
        <v>1606</v>
      </c>
      <c r="H764" s="5">
        <v>79</v>
      </c>
      <c r="J764">
        <v>130</v>
      </c>
      <c r="P764" s="6">
        <v>80</v>
      </c>
    </row>
    <row r="765" spans="1:16" x14ac:dyDescent="0.3">
      <c r="A765" s="6">
        <v>758</v>
      </c>
      <c r="B765" t="s">
        <v>1149</v>
      </c>
      <c r="C765" s="2" t="s">
        <v>1152</v>
      </c>
      <c r="D765" t="s">
        <v>15</v>
      </c>
      <c r="F765" t="s">
        <v>1599</v>
      </c>
      <c r="G765" t="s">
        <v>1606</v>
      </c>
      <c r="H765" s="5">
        <v>28</v>
      </c>
      <c r="J765">
        <v>130</v>
      </c>
      <c r="P765" s="6">
        <v>80</v>
      </c>
    </row>
    <row r="766" spans="1:16" x14ac:dyDescent="0.3">
      <c r="A766" s="6">
        <v>759</v>
      </c>
      <c r="B766" t="s">
        <v>1149</v>
      </c>
      <c r="C766" s="2" t="s">
        <v>1153</v>
      </c>
      <c r="D766" t="s">
        <v>15</v>
      </c>
      <c r="F766" t="s">
        <v>1599</v>
      </c>
      <c r="G766" t="s">
        <v>1606</v>
      </c>
      <c r="H766" s="5">
        <v>16</v>
      </c>
      <c r="J766">
        <v>130</v>
      </c>
      <c r="P766" s="6">
        <v>80</v>
      </c>
    </row>
    <row r="767" spans="1:16" x14ac:dyDescent="0.3">
      <c r="A767" s="6">
        <v>760</v>
      </c>
      <c r="B767" t="s">
        <v>1149</v>
      </c>
      <c r="C767" s="2" t="s">
        <v>1154</v>
      </c>
      <c r="D767" t="s">
        <v>15</v>
      </c>
      <c r="F767" t="s">
        <v>1599</v>
      </c>
      <c r="G767" t="s">
        <v>1606</v>
      </c>
      <c r="H767" s="5">
        <v>34</v>
      </c>
      <c r="J767">
        <v>130</v>
      </c>
      <c r="P767" s="6">
        <v>91</v>
      </c>
    </row>
    <row r="768" spans="1:16" x14ac:dyDescent="0.3">
      <c r="A768" s="6">
        <v>761</v>
      </c>
      <c r="B768" t="s">
        <v>1149</v>
      </c>
      <c r="C768" s="2" t="s">
        <v>1155</v>
      </c>
      <c r="D768" t="s">
        <v>15</v>
      </c>
      <c r="F768" t="s">
        <v>1599</v>
      </c>
      <c r="G768" t="s">
        <v>1606</v>
      </c>
      <c r="H768" s="5">
        <v>30</v>
      </c>
      <c r="J768">
        <v>130</v>
      </c>
      <c r="P768" s="6">
        <v>91</v>
      </c>
    </row>
    <row r="769" spans="1:16" x14ac:dyDescent="0.3">
      <c r="A769" s="6">
        <v>762</v>
      </c>
      <c r="B769" t="s">
        <v>1156</v>
      </c>
      <c r="C769" s="2" t="s">
        <v>1157</v>
      </c>
      <c r="D769" t="s">
        <v>15</v>
      </c>
      <c r="F769" t="s">
        <v>1599</v>
      </c>
      <c r="G769" t="s">
        <v>1606</v>
      </c>
      <c r="H769" s="5">
        <v>72</v>
      </c>
      <c r="J769">
        <v>90</v>
      </c>
      <c r="P769" s="6">
        <v>55</v>
      </c>
    </row>
    <row r="770" spans="1:16" x14ac:dyDescent="0.3">
      <c r="A770" s="6">
        <v>763</v>
      </c>
      <c r="B770" t="s">
        <v>352</v>
      </c>
      <c r="C770" s="2" t="s">
        <v>1158</v>
      </c>
      <c r="D770" t="s">
        <v>18</v>
      </c>
      <c r="F770" t="s">
        <v>1599</v>
      </c>
      <c r="G770" t="s">
        <v>1606</v>
      </c>
      <c r="H770" s="5">
        <v>142</v>
      </c>
      <c r="J770">
        <v>110</v>
      </c>
      <c r="P770" s="6">
        <v>110</v>
      </c>
    </row>
    <row r="771" spans="1:16" x14ac:dyDescent="0.3">
      <c r="A771" s="6">
        <v>764</v>
      </c>
      <c r="B771" t="s">
        <v>1162</v>
      </c>
      <c r="C771" s="2" t="s">
        <v>1159</v>
      </c>
      <c r="D771" t="s">
        <v>15</v>
      </c>
      <c r="F771" t="s">
        <v>1599</v>
      </c>
      <c r="G771" t="s">
        <v>1606</v>
      </c>
      <c r="H771" s="5">
        <v>243</v>
      </c>
      <c r="J771">
        <v>45</v>
      </c>
      <c r="P771" s="6">
        <v>38</v>
      </c>
    </row>
    <row r="772" spans="1:16" x14ac:dyDescent="0.3">
      <c r="A772" s="6">
        <v>765</v>
      </c>
      <c r="B772" t="s">
        <v>1163</v>
      </c>
      <c r="C772" s="2" t="s">
        <v>1160</v>
      </c>
      <c r="D772" t="s">
        <v>15</v>
      </c>
      <c r="F772" t="s">
        <v>1599</v>
      </c>
      <c r="G772" t="s">
        <v>1606</v>
      </c>
      <c r="H772" s="5">
        <v>462</v>
      </c>
      <c r="J772">
        <v>45</v>
      </c>
      <c r="P772" s="6">
        <v>38</v>
      </c>
    </row>
    <row r="773" spans="1:16" x14ac:dyDescent="0.3">
      <c r="A773" s="6">
        <v>766</v>
      </c>
      <c r="B773" t="s">
        <v>1164</v>
      </c>
      <c r="C773" s="2" t="s">
        <v>1161</v>
      </c>
      <c r="D773" t="s">
        <v>15</v>
      </c>
      <c r="F773" t="s">
        <v>1599</v>
      </c>
      <c r="G773" t="s">
        <v>1606</v>
      </c>
      <c r="H773" s="5">
        <v>242</v>
      </c>
      <c r="J773">
        <v>45</v>
      </c>
      <c r="P773" s="6">
        <v>38</v>
      </c>
    </row>
    <row r="774" spans="1:16" x14ac:dyDescent="0.3">
      <c r="A774" s="6">
        <v>767</v>
      </c>
      <c r="B774" t="s">
        <v>1165</v>
      </c>
      <c r="C774" s="2" t="s">
        <v>1166</v>
      </c>
      <c r="D774" t="s">
        <v>15</v>
      </c>
      <c r="F774" t="s">
        <v>1599</v>
      </c>
      <c r="G774" t="s">
        <v>1606</v>
      </c>
      <c r="H774" s="5">
        <v>60</v>
      </c>
      <c r="J774">
        <v>45</v>
      </c>
      <c r="P774" s="6">
        <v>38</v>
      </c>
    </row>
    <row r="775" spans="1:16" x14ac:dyDescent="0.3">
      <c r="A775" s="6">
        <v>768</v>
      </c>
      <c r="B775" t="s">
        <v>1167</v>
      </c>
      <c r="C775" s="2" t="s">
        <v>1168</v>
      </c>
      <c r="D775" t="s">
        <v>15</v>
      </c>
      <c r="F775" t="s">
        <v>1599</v>
      </c>
      <c r="G775" t="s">
        <v>1606</v>
      </c>
      <c r="H775" s="5">
        <v>90</v>
      </c>
      <c r="J775">
        <v>45</v>
      </c>
      <c r="P775" s="6">
        <v>38</v>
      </c>
    </row>
    <row r="776" spans="1:16" x14ac:dyDescent="0.3">
      <c r="A776" s="6">
        <v>769</v>
      </c>
      <c r="B776" t="s">
        <v>1169</v>
      </c>
      <c r="C776" s="2" t="s">
        <v>1170</v>
      </c>
      <c r="D776" t="s">
        <v>15</v>
      </c>
      <c r="F776" t="s">
        <v>1599</v>
      </c>
      <c r="G776" t="s">
        <v>1606</v>
      </c>
      <c r="H776" s="5">
        <v>283</v>
      </c>
      <c r="J776">
        <v>45</v>
      </c>
      <c r="P776" s="6">
        <v>38</v>
      </c>
    </row>
    <row r="777" spans="1:16" x14ac:dyDescent="0.3">
      <c r="A777" s="6">
        <v>770</v>
      </c>
      <c r="B777" t="s">
        <v>1040</v>
      </c>
      <c r="C777" s="2" t="s">
        <v>1171</v>
      </c>
      <c r="D777" t="s">
        <v>15</v>
      </c>
      <c r="F777" t="s">
        <v>1599</v>
      </c>
      <c r="G777" t="s">
        <v>1606</v>
      </c>
      <c r="H777" s="5">
        <v>13</v>
      </c>
      <c r="J777">
        <v>150</v>
      </c>
      <c r="P777" s="6">
        <v>108</v>
      </c>
    </row>
    <row r="778" spans="1:16" x14ac:dyDescent="0.3">
      <c r="A778" s="6">
        <v>771</v>
      </c>
      <c r="B778" t="s">
        <v>1040</v>
      </c>
      <c r="C778" s="2" t="s">
        <v>1172</v>
      </c>
      <c r="D778" t="s">
        <v>15</v>
      </c>
      <c r="F778" t="s">
        <v>1599</v>
      </c>
      <c r="G778" t="s">
        <v>1606</v>
      </c>
      <c r="H778" s="5">
        <v>15</v>
      </c>
      <c r="J778">
        <v>200</v>
      </c>
      <c r="P778" s="6">
        <v>159</v>
      </c>
    </row>
    <row r="779" spans="1:16" x14ac:dyDescent="0.3">
      <c r="A779" s="6">
        <v>772</v>
      </c>
      <c r="B779" t="s">
        <v>1173</v>
      </c>
      <c r="C779" s="2" t="s">
        <v>1174</v>
      </c>
      <c r="D779" t="s">
        <v>15</v>
      </c>
      <c r="F779" t="s">
        <v>1599</v>
      </c>
      <c r="G779" t="s">
        <v>1606</v>
      </c>
      <c r="H779" s="5">
        <v>480</v>
      </c>
      <c r="J779">
        <v>45</v>
      </c>
      <c r="P779" s="6">
        <v>38</v>
      </c>
    </row>
    <row r="780" spans="1:16" x14ac:dyDescent="0.3">
      <c r="A780" s="6">
        <v>773</v>
      </c>
      <c r="B780" t="s">
        <v>352</v>
      </c>
      <c r="C780" s="2" t="s">
        <v>1175</v>
      </c>
      <c r="D780" t="s">
        <v>18</v>
      </c>
      <c r="F780" t="s">
        <v>1599</v>
      </c>
      <c r="G780" t="s">
        <v>1606</v>
      </c>
      <c r="H780" s="5">
        <v>81</v>
      </c>
      <c r="J780">
        <v>110</v>
      </c>
      <c r="P780" s="6">
        <v>110</v>
      </c>
    </row>
    <row r="781" spans="1:16" x14ac:dyDescent="0.3">
      <c r="A781" s="6">
        <v>774</v>
      </c>
      <c r="B781" t="s">
        <v>352</v>
      </c>
      <c r="C781" s="2" t="s">
        <v>1176</v>
      </c>
      <c r="D781" t="s">
        <v>18</v>
      </c>
      <c r="F781" t="s">
        <v>1599</v>
      </c>
      <c r="G781" t="s">
        <v>1606</v>
      </c>
      <c r="H781" s="5">
        <v>81</v>
      </c>
      <c r="J781">
        <v>110</v>
      </c>
      <c r="P781" s="6">
        <v>110</v>
      </c>
    </row>
    <row r="782" spans="1:16" x14ac:dyDescent="0.3">
      <c r="A782" s="6">
        <v>775</v>
      </c>
      <c r="B782" t="s">
        <v>1177</v>
      </c>
      <c r="C782" s="2" t="s">
        <v>1178</v>
      </c>
      <c r="D782" t="s">
        <v>15</v>
      </c>
      <c r="F782" t="s">
        <v>1599</v>
      </c>
      <c r="G782" t="s">
        <v>1606</v>
      </c>
      <c r="H782" s="5">
        <v>300</v>
      </c>
      <c r="J782">
        <v>45</v>
      </c>
      <c r="P782" s="6">
        <v>38</v>
      </c>
    </row>
    <row r="783" spans="1:16" x14ac:dyDescent="0.3">
      <c r="A783" s="6">
        <v>776</v>
      </c>
      <c r="B783" t="s">
        <v>1179</v>
      </c>
      <c r="D783" t="s">
        <v>15</v>
      </c>
      <c r="F783" t="s">
        <v>1599</v>
      </c>
      <c r="G783" t="s">
        <v>1606</v>
      </c>
      <c r="H783" s="5">
        <v>62</v>
      </c>
      <c r="J783">
        <v>195</v>
      </c>
      <c r="P783" s="6">
        <v>160</v>
      </c>
    </row>
    <row r="784" spans="1:16" x14ac:dyDescent="0.3">
      <c r="A784" s="6">
        <v>777</v>
      </c>
      <c r="B784" t="s">
        <v>1180</v>
      </c>
      <c r="C784" s="2" t="s">
        <v>1181</v>
      </c>
      <c r="D784" t="s">
        <v>15</v>
      </c>
      <c r="F784" t="s">
        <v>1599</v>
      </c>
      <c r="G784" t="s">
        <v>1606</v>
      </c>
      <c r="H784" s="5">
        <v>93</v>
      </c>
      <c r="J784">
        <v>330</v>
      </c>
      <c r="P784" s="6">
        <v>222</v>
      </c>
    </row>
    <row r="785" spans="1:16" x14ac:dyDescent="0.3">
      <c r="A785" s="6">
        <v>778</v>
      </c>
      <c r="B785" t="s">
        <v>1189</v>
      </c>
      <c r="C785" s="2" t="s">
        <v>1182</v>
      </c>
      <c r="D785" t="s">
        <v>15</v>
      </c>
      <c r="F785" t="s">
        <v>1599</v>
      </c>
      <c r="G785" t="s">
        <v>1606</v>
      </c>
      <c r="H785" s="5">
        <f>92+31+30+51+124</f>
        <v>328</v>
      </c>
      <c r="J785">
        <v>110</v>
      </c>
      <c r="P785" s="6">
        <v>85</v>
      </c>
    </row>
    <row r="786" spans="1:16" x14ac:dyDescent="0.3">
      <c r="A786" s="6">
        <v>779</v>
      </c>
      <c r="B786" t="s">
        <v>1183</v>
      </c>
      <c r="C786" s="2" t="s">
        <v>1184</v>
      </c>
      <c r="D786" t="s">
        <v>15</v>
      </c>
      <c r="F786" t="s">
        <v>1599</v>
      </c>
      <c r="G786" t="s">
        <v>1606</v>
      </c>
      <c r="H786" s="5">
        <v>9</v>
      </c>
      <c r="J786">
        <v>660</v>
      </c>
      <c r="P786" s="6">
        <v>483</v>
      </c>
    </row>
    <row r="787" spans="1:16" x14ac:dyDescent="0.3">
      <c r="A787" s="6">
        <v>780</v>
      </c>
      <c r="B787" t="s">
        <v>1185</v>
      </c>
      <c r="C787" s="2" t="s">
        <v>1186</v>
      </c>
      <c r="D787" t="s">
        <v>15</v>
      </c>
      <c r="F787" t="s">
        <v>1599</v>
      </c>
      <c r="G787" t="s">
        <v>1606</v>
      </c>
      <c r="H787" s="5">
        <v>262</v>
      </c>
      <c r="J787">
        <v>90</v>
      </c>
      <c r="P787" s="6">
        <v>60</v>
      </c>
    </row>
    <row r="788" spans="1:16" x14ac:dyDescent="0.3">
      <c r="A788" s="6">
        <v>781</v>
      </c>
      <c r="B788" t="s">
        <v>1187</v>
      </c>
      <c r="C788" s="7" t="s">
        <v>1188</v>
      </c>
      <c r="D788" t="s">
        <v>15</v>
      </c>
      <c r="F788" t="s">
        <v>1599</v>
      </c>
      <c r="G788" t="s">
        <v>1606</v>
      </c>
      <c r="H788" s="5">
        <v>12</v>
      </c>
      <c r="J788">
        <v>560</v>
      </c>
      <c r="P788" s="6">
        <v>440</v>
      </c>
    </row>
    <row r="789" spans="1:16" x14ac:dyDescent="0.3">
      <c r="A789" s="6">
        <v>782</v>
      </c>
      <c r="B789" t="s">
        <v>999</v>
      </c>
      <c r="C789" s="2" t="s">
        <v>1190</v>
      </c>
      <c r="D789" t="s">
        <v>15</v>
      </c>
      <c r="F789" t="s">
        <v>1599</v>
      </c>
      <c r="G789" t="s">
        <v>1606</v>
      </c>
      <c r="H789" s="5">
        <v>29</v>
      </c>
      <c r="J789">
        <v>195</v>
      </c>
      <c r="P789" s="6">
        <v>140</v>
      </c>
    </row>
    <row r="790" spans="1:16" x14ac:dyDescent="0.3">
      <c r="A790" s="6">
        <v>783</v>
      </c>
      <c r="B790" t="s">
        <v>999</v>
      </c>
      <c r="C790" s="2" t="s">
        <v>1191</v>
      </c>
      <c r="D790" t="s">
        <v>15</v>
      </c>
      <c r="F790" t="s">
        <v>1599</v>
      </c>
      <c r="G790" t="s">
        <v>1606</v>
      </c>
      <c r="H790" s="5">
        <v>24</v>
      </c>
      <c r="J790">
        <v>195</v>
      </c>
      <c r="P790" s="6">
        <v>140</v>
      </c>
    </row>
    <row r="791" spans="1:16" x14ac:dyDescent="0.3">
      <c r="A791" s="6">
        <v>784</v>
      </c>
      <c r="B791" t="s">
        <v>1192</v>
      </c>
      <c r="D791" t="s">
        <v>15</v>
      </c>
      <c r="F791" t="s">
        <v>1599</v>
      </c>
      <c r="G791" t="s">
        <v>1606</v>
      </c>
      <c r="H791" s="5">
        <v>13</v>
      </c>
      <c r="J791">
        <v>195</v>
      </c>
      <c r="P791" s="6">
        <v>160</v>
      </c>
    </row>
    <row r="792" spans="1:16" x14ac:dyDescent="0.3">
      <c r="A792" s="6">
        <v>785</v>
      </c>
      <c r="B792" t="s">
        <v>161</v>
      </c>
      <c r="D792" t="s">
        <v>15</v>
      </c>
      <c r="F792" t="s">
        <v>1599</v>
      </c>
      <c r="G792" t="s">
        <v>1606</v>
      </c>
      <c r="H792" s="5">
        <v>41</v>
      </c>
      <c r="J792">
        <v>200</v>
      </c>
      <c r="P792" s="6">
        <v>180</v>
      </c>
    </row>
    <row r="793" spans="1:16" x14ac:dyDescent="0.3">
      <c r="A793" s="6">
        <v>786</v>
      </c>
      <c r="B793" t="s">
        <v>1193</v>
      </c>
      <c r="D793" t="s">
        <v>15</v>
      </c>
      <c r="F793" t="s">
        <v>1599</v>
      </c>
      <c r="G793" t="s">
        <v>1606</v>
      </c>
      <c r="H793" s="5">
        <v>33</v>
      </c>
      <c r="J793">
        <v>80</v>
      </c>
      <c r="P793" s="6">
        <v>65</v>
      </c>
    </row>
    <row r="794" spans="1:16" x14ac:dyDescent="0.3">
      <c r="A794" s="6">
        <v>787</v>
      </c>
      <c r="B794" t="s">
        <v>1194</v>
      </c>
      <c r="C794" s="7" t="s">
        <v>1195</v>
      </c>
      <c r="D794" t="s">
        <v>15</v>
      </c>
      <c r="F794" t="s">
        <v>1599</v>
      </c>
      <c r="G794" t="s">
        <v>1606</v>
      </c>
      <c r="H794" s="5">
        <v>13</v>
      </c>
      <c r="J794">
        <v>70</v>
      </c>
      <c r="P794" s="6">
        <v>55</v>
      </c>
    </row>
    <row r="795" spans="1:16" x14ac:dyDescent="0.3">
      <c r="A795" s="6">
        <v>788</v>
      </c>
      <c r="B795" t="s">
        <v>1197</v>
      </c>
      <c r="C795" s="2" t="s">
        <v>1196</v>
      </c>
      <c r="D795" t="s">
        <v>15</v>
      </c>
      <c r="F795" t="s">
        <v>1599</v>
      </c>
      <c r="G795" t="s">
        <v>1606</v>
      </c>
      <c r="H795" s="5">
        <v>23</v>
      </c>
      <c r="J795">
        <v>350</v>
      </c>
      <c r="P795" s="6">
        <v>246</v>
      </c>
    </row>
    <row r="796" spans="1:16" x14ac:dyDescent="0.3">
      <c r="A796" s="6">
        <v>789</v>
      </c>
      <c r="B796" t="s">
        <v>281</v>
      </c>
      <c r="C796" s="2" t="s">
        <v>1198</v>
      </c>
      <c r="D796" t="s">
        <v>15</v>
      </c>
      <c r="F796" t="s">
        <v>1599</v>
      </c>
      <c r="G796" t="s">
        <v>1606</v>
      </c>
      <c r="H796" s="5">
        <v>30</v>
      </c>
      <c r="J796">
        <v>165</v>
      </c>
      <c r="P796" s="6">
        <v>116</v>
      </c>
    </row>
    <row r="797" spans="1:16" x14ac:dyDescent="0.3">
      <c r="A797" s="6">
        <v>790</v>
      </c>
      <c r="B797" t="s">
        <v>1199</v>
      </c>
      <c r="D797" t="s">
        <v>208</v>
      </c>
      <c r="F797" t="s">
        <v>1599</v>
      </c>
      <c r="G797" t="s">
        <v>1606</v>
      </c>
      <c r="H797" s="5">
        <v>8</v>
      </c>
      <c r="J797">
        <v>460</v>
      </c>
      <c r="P797" s="6">
        <v>348</v>
      </c>
    </row>
    <row r="798" spans="1:16" x14ac:dyDescent="0.3">
      <c r="A798" s="6">
        <v>791</v>
      </c>
      <c r="B798" t="s">
        <v>1200</v>
      </c>
      <c r="D798" t="s">
        <v>208</v>
      </c>
      <c r="F798" t="s">
        <v>1599</v>
      </c>
      <c r="G798" t="s">
        <v>1606</v>
      </c>
      <c r="H798" s="5">
        <v>12</v>
      </c>
      <c r="J798">
        <v>720</v>
      </c>
      <c r="P798" s="6">
        <v>550</v>
      </c>
    </row>
    <row r="799" spans="1:16" x14ac:dyDescent="0.3">
      <c r="A799" s="6">
        <v>792</v>
      </c>
      <c r="B799" t="s">
        <v>1201</v>
      </c>
      <c r="C799" s="2">
        <v>1876</v>
      </c>
      <c r="D799" t="s">
        <v>15</v>
      </c>
      <c r="F799" t="s">
        <v>1599</v>
      </c>
      <c r="G799" t="s">
        <v>1606</v>
      </c>
      <c r="H799" s="5">
        <v>43</v>
      </c>
      <c r="J799">
        <v>70</v>
      </c>
      <c r="P799" s="6">
        <v>55</v>
      </c>
    </row>
    <row r="800" spans="1:16" x14ac:dyDescent="0.3">
      <c r="A800" s="6">
        <v>793</v>
      </c>
      <c r="B800" t="s">
        <v>1202</v>
      </c>
      <c r="D800" t="s">
        <v>15</v>
      </c>
      <c r="F800" t="s">
        <v>1599</v>
      </c>
      <c r="G800" t="s">
        <v>1606</v>
      </c>
      <c r="H800" s="5">
        <v>32</v>
      </c>
      <c r="J800">
        <v>55</v>
      </c>
      <c r="P800" s="6">
        <v>43</v>
      </c>
    </row>
    <row r="801" spans="1:16" x14ac:dyDescent="0.3">
      <c r="A801" s="6">
        <v>794</v>
      </c>
      <c r="B801" t="s">
        <v>140</v>
      </c>
      <c r="C801" s="2">
        <v>333</v>
      </c>
      <c r="D801" t="s">
        <v>15</v>
      </c>
      <c r="F801" t="s">
        <v>1599</v>
      </c>
      <c r="G801" t="s">
        <v>1606</v>
      </c>
      <c r="H801" s="5">
        <v>9</v>
      </c>
      <c r="J801">
        <v>100</v>
      </c>
      <c r="P801" s="6">
        <v>75</v>
      </c>
    </row>
    <row r="802" spans="1:16" x14ac:dyDescent="0.3">
      <c r="A802" s="6">
        <v>795</v>
      </c>
      <c r="B802" t="s">
        <v>1061</v>
      </c>
      <c r="C802" s="2" t="s">
        <v>1203</v>
      </c>
      <c r="D802" t="s">
        <v>15</v>
      </c>
      <c r="F802" t="s">
        <v>1599</v>
      </c>
      <c r="G802" t="s">
        <v>1606</v>
      </c>
      <c r="H802" s="5">
        <v>17</v>
      </c>
      <c r="J802">
        <v>175</v>
      </c>
      <c r="P802" s="6">
        <v>135</v>
      </c>
    </row>
    <row r="803" spans="1:16" x14ac:dyDescent="0.3">
      <c r="A803" s="6">
        <v>796</v>
      </c>
      <c r="B803" t="s">
        <v>1204</v>
      </c>
      <c r="D803" t="s">
        <v>15</v>
      </c>
      <c r="F803" t="s">
        <v>1599</v>
      </c>
      <c r="G803" t="s">
        <v>1606</v>
      </c>
      <c r="H803" s="5">
        <f>11+12</f>
        <v>23</v>
      </c>
      <c r="J803">
        <v>85</v>
      </c>
      <c r="P803" s="6">
        <v>65</v>
      </c>
    </row>
    <row r="804" spans="1:16" x14ac:dyDescent="0.3">
      <c r="A804" s="6">
        <v>797</v>
      </c>
      <c r="B804" t="s">
        <v>1205</v>
      </c>
      <c r="D804" t="s">
        <v>15</v>
      </c>
      <c r="F804" t="s">
        <v>1599</v>
      </c>
      <c r="G804" t="s">
        <v>1606</v>
      </c>
      <c r="H804" s="5">
        <v>15</v>
      </c>
      <c r="J804">
        <v>135</v>
      </c>
      <c r="P804" s="6">
        <v>100</v>
      </c>
    </row>
    <row r="805" spans="1:16" x14ac:dyDescent="0.3">
      <c r="A805" s="6">
        <v>798</v>
      </c>
      <c r="B805" t="s">
        <v>371</v>
      </c>
      <c r="D805" t="s">
        <v>15</v>
      </c>
      <c r="F805" t="s">
        <v>1599</v>
      </c>
      <c r="G805" t="s">
        <v>1606</v>
      </c>
      <c r="H805" s="5">
        <v>25</v>
      </c>
      <c r="J805">
        <v>40</v>
      </c>
      <c r="P805" s="6">
        <v>30</v>
      </c>
    </row>
    <row r="806" spans="1:16" x14ac:dyDescent="0.3">
      <c r="A806" s="6">
        <v>799</v>
      </c>
      <c r="B806" t="s">
        <v>1206</v>
      </c>
      <c r="D806" t="s">
        <v>15</v>
      </c>
      <c r="F806" t="s">
        <v>1599</v>
      </c>
      <c r="G806" t="s">
        <v>1606</v>
      </c>
      <c r="H806" s="5">
        <v>8</v>
      </c>
      <c r="J806">
        <v>40</v>
      </c>
      <c r="P806" s="6">
        <v>30</v>
      </c>
    </row>
    <row r="807" spans="1:16" x14ac:dyDescent="0.3">
      <c r="A807" s="6">
        <v>800</v>
      </c>
      <c r="B807" t="s">
        <v>1207</v>
      </c>
      <c r="D807" t="s">
        <v>15</v>
      </c>
      <c r="F807" t="s">
        <v>1599</v>
      </c>
      <c r="G807" t="s">
        <v>1606</v>
      </c>
      <c r="H807" s="5">
        <v>19</v>
      </c>
      <c r="J807">
        <v>90</v>
      </c>
      <c r="P807" s="6">
        <v>75</v>
      </c>
    </row>
    <row r="808" spans="1:16" x14ac:dyDescent="0.3">
      <c r="A808" s="6">
        <v>801</v>
      </c>
      <c r="B808" t="s">
        <v>140</v>
      </c>
      <c r="C808" s="2">
        <v>222</v>
      </c>
      <c r="D808" t="s">
        <v>15</v>
      </c>
      <c r="F808" t="s">
        <v>1599</v>
      </c>
      <c r="G808" t="s">
        <v>1606</v>
      </c>
      <c r="H808" s="5">
        <v>7</v>
      </c>
      <c r="J808">
        <v>80</v>
      </c>
      <c r="P808" s="6">
        <v>68</v>
      </c>
    </row>
    <row r="809" spans="1:16" x14ac:dyDescent="0.3">
      <c r="A809" s="6">
        <v>802</v>
      </c>
      <c r="B809" t="s">
        <v>1208</v>
      </c>
      <c r="D809" t="s">
        <v>15</v>
      </c>
      <c r="F809" t="s">
        <v>1599</v>
      </c>
      <c r="G809" t="s">
        <v>1606</v>
      </c>
      <c r="H809" s="5">
        <v>30</v>
      </c>
      <c r="J809">
        <v>40</v>
      </c>
      <c r="P809" s="6">
        <v>30</v>
      </c>
    </row>
    <row r="810" spans="1:16" x14ac:dyDescent="0.3">
      <c r="A810" s="6">
        <v>803</v>
      </c>
      <c r="B810" t="s">
        <v>1209</v>
      </c>
      <c r="D810" t="s">
        <v>15</v>
      </c>
      <c r="F810" t="s">
        <v>1599</v>
      </c>
      <c r="G810" t="s">
        <v>1606</v>
      </c>
      <c r="H810" s="5">
        <v>33</v>
      </c>
      <c r="J810">
        <v>75</v>
      </c>
      <c r="P810" s="6">
        <v>60</v>
      </c>
    </row>
    <row r="811" spans="1:16" x14ac:dyDescent="0.3">
      <c r="A811" s="6">
        <v>804</v>
      </c>
      <c r="B811" t="s">
        <v>1211</v>
      </c>
      <c r="D811" t="s">
        <v>15</v>
      </c>
      <c r="F811" t="s">
        <v>1599</v>
      </c>
      <c r="G811" t="s">
        <v>1606</v>
      </c>
      <c r="H811" s="5">
        <v>1480</v>
      </c>
      <c r="J811">
        <v>40</v>
      </c>
    </row>
    <row r="812" spans="1:16" x14ac:dyDescent="0.3">
      <c r="A812" s="6">
        <v>805</v>
      </c>
      <c r="B812" t="s">
        <v>1210</v>
      </c>
      <c r="C812" s="2" t="s">
        <v>1212</v>
      </c>
      <c r="D812" t="s">
        <v>15</v>
      </c>
      <c r="F812" t="s">
        <v>1599</v>
      </c>
      <c r="G812" t="s">
        <v>1606</v>
      </c>
      <c r="H812" s="5">
        <v>133</v>
      </c>
      <c r="J812">
        <v>145</v>
      </c>
      <c r="P812" s="6">
        <v>115</v>
      </c>
    </row>
    <row r="813" spans="1:16" x14ac:dyDescent="0.3">
      <c r="A813" s="6">
        <v>806</v>
      </c>
      <c r="B813" t="s">
        <v>1210</v>
      </c>
      <c r="C813" s="2" t="s">
        <v>1213</v>
      </c>
      <c r="D813" t="s">
        <v>15</v>
      </c>
      <c r="F813" t="s">
        <v>1599</v>
      </c>
      <c r="G813" t="s">
        <v>1606</v>
      </c>
      <c r="H813" s="5">
        <v>36</v>
      </c>
      <c r="J813">
        <v>130</v>
      </c>
      <c r="P813" s="6">
        <v>105</v>
      </c>
    </row>
    <row r="814" spans="1:16" x14ac:dyDescent="0.3">
      <c r="A814" s="6">
        <v>807</v>
      </c>
      <c r="B814" t="s">
        <v>1210</v>
      </c>
      <c r="C814" s="2" t="s">
        <v>1214</v>
      </c>
      <c r="D814" t="s">
        <v>15</v>
      </c>
      <c r="F814" t="s">
        <v>1599</v>
      </c>
      <c r="G814" t="s">
        <v>1606</v>
      </c>
      <c r="H814" s="5">
        <v>3</v>
      </c>
      <c r="J814">
        <v>150</v>
      </c>
      <c r="P814" s="6">
        <v>120</v>
      </c>
    </row>
    <row r="815" spans="1:16" x14ac:dyDescent="0.3">
      <c r="A815" s="6">
        <v>808</v>
      </c>
      <c r="B815" t="s">
        <v>1210</v>
      </c>
      <c r="C815" s="2" t="s">
        <v>1215</v>
      </c>
      <c r="D815" t="s">
        <v>15</v>
      </c>
      <c r="F815" t="s">
        <v>1599</v>
      </c>
      <c r="G815" t="s">
        <v>1606</v>
      </c>
      <c r="H815" s="5">
        <v>3</v>
      </c>
      <c r="J815">
        <v>40</v>
      </c>
      <c r="P815" s="6">
        <v>35</v>
      </c>
    </row>
    <row r="816" spans="1:16" x14ac:dyDescent="0.3">
      <c r="A816" s="6">
        <v>809</v>
      </c>
      <c r="B816" t="s">
        <v>1210</v>
      </c>
      <c r="C816" s="2" t="s">
        <v>1216</v>
      </c>
      <c r="D816" t="s">
        <v>15</v>
      </c>
      <c r="F816" t="s">
        <v>1599</v>
      </c>
      <c r="G816" t="s">
        <v>1606</v>
      </c>
      <c r="H816" s="5">
        <v>3</v>
      </c>
      <c r="J816">
        <v>40</v>
      </c>
      <c r="P816" s="6">
        <v>35</v>
      </c>
    </row>
    <row r="817" spans="1:16" x14ac:dyDescent="0.3">
      <c r="A817" s="6">
        <v>810</v>
      </c>
      <c r="B817" t="s">
        <v>1210</v>
      </c>
      <c r="C817" s="2" t="s">
        <v>1217</v>
      </c>
      <c r="D817" t="s">
        <v>15</v>
      </c>
      <c r="F817" t="s">
        <v>1599</v>
      </c>
      <c r="G817" t="s">
        <v>1606</v>
      </c>
      <c r="H817" s="5">
        <v>2</v>
      </c>
      <c r="J817">
        <v>150</v>
      </c>
      <c r="P817" s="6">
        <v>120</v>
      </c>
    </row>
    <row r="818" spans="1:16" x14ac:dyDescent="0.3">
      <c r="A818" s="6">
        <v>811</v>
      </c>
      <c r="B818" t="s">
        <v>1210</v>
      </c>
      <c r="C818" s="2" t="s">
        <v>1218</v>
      </c>
      <c r="D818" t="s">
        <v>15</v>
      </c>
      <c r="F818" t="s">
        <v>1599</v>
      </c>
      <c r="G818" t="s">
        <v>1606</v>
      </c>
      <c r="H818" s="5">
        <v>140</v>
      </c>
      <c r="J818">
        <v>65</v>
      </c>
      <c r="P818" s="6">
        <v>54</v>
      </c>
    </row>
    <row r="819" spans="1:16" x14ac:dyDescent="0.3">
      <c r="A819" s="6">
        <v>812</v>
      </c>
      <c r="B819" t="s">
        <v>1219</v>
      </c>
      <c r="C819" s="2" t="s">
        <v>1220</v>
      </c>
      <c r="D819" t="s">
        <v>15</v>
      </c>
      <c r="F819" t="s">
        <v>1599</v>
      </c>
      <c r="G819" t="s">
        <v>1606</v>
      </c>
      <c r="H819" s="5">
        <v>17</v>
      </c>
      <c r="J819">
        <v>650</v>
      </c>
      <c r="P819" s="6">
        <v>483</v>
      </c>
    </row>
    <row r="820" spans="1:16" x14ac:dyDescent="0.3">
      <c r="A820" s="6">
        <v>813</v>
      </c>
      <c r="B820" t="s">
        <v>1221</v>
      </c>
      <c r="C820" s="2" t="s">
        <v>1222</v>
      </c>
      <c r="D820" t="s">
        <v>15</v>
      </c>
      <c r="F820" t="s">
        <v>1599</v>
      </c>
      <c r="G820" t="s">
        <v>1606</v>
      </c>
      <c r="H820" s="5">
        <v>16</v>
      </c>
      <c r="J820">
        <v>650</v>
      </c>
      <c r="P820" s="6">
        <v>504</v>
      </c>
    </row>
    <row r="821" spans="1:16" x14ac:dyDescent="0.3">
      <c r="A821" s="6">
        <v>814</v>
      </c>
      <c r="B821" t="s">
        <v>1187</v>
      </c>
      <c r="C821" s="2" t="s">
        <v>1223</v>
      </c>
      <c r="D821" t="s">
        <v>15</v>
      </c>
      <c r="F821" t="s">
        <v>1599</v>
      </c>
      <c r="G821" t="s">
        <v>1606</v>
      </c>
      <c r="H821" s="5">
        <v>21</v>
      </c>
      <c r="J821">
        <v>650</v>
      </c>
      <c r="P821" s="6">
        <v>547</v>
      </c>
    </row>
    <row r="822" spans="1:16" x14ac:dyDescent="0.3">
      <c r="A822" s="6">
        <v>815</v>
      </c>
      <c r="B822" t="s">
        <v>1224</v>
      </c>
      <c r="C822" s="2" t="s">
        <v>1225</v>
      </c>
      <c r="D822" t="s">
        <v>15</v>
      </c>
      <c r="F822" t="s">
        <v>1599</v>
      </c>
      <c r="G822" t="s">
        <v>1606</v>
      </c>
      <c r="H822" s="5">
        <v>51</v>
      </c>
      <c r="J822">
        <v>285</v>
      </c>
      <c r="P822" s="6">
        <v>185</v>
      </c>
    </row>
    <row r="823" spans="1:16" x14ac:dyDescent="0.3">
      <c r="A823" s="6">
        <v>816</v>
      </c>
      <c r="B823" t="s">
        <v>1226</v>
      </c>
      <c r="C823" s="2" t="s">
        <v>1227</v>
      </c>
      <c r="D823" t="s">
        <v>15</v>
      </c>
      <c r="F823" t="s">
        <v>1599</v>
      </c>
      <c r="G823" t="s">
        <v>1606</v>
      </c>
      <c r="H823" s="5">
        <v>20</v>
      </c>
      <c r="J823">
        <v>350</v>
      </c>
      <c r="P823" s="6">
        <v>240</v>
      </c>
    </row>
    <row r="824" spans="1:16" x14ac:dyDescent="0.3">
      <c r="A824" s="6">
        <v>817</v>
      </c>
      <c r="B824" t="s">
        <v>1076</v>
      </c>
      <c r="C824" s="2" t="s">
        <v>1228</v>
      </c>
      <c r="D824" t="s">
        <v>15</v>
      </c>
      <c r="F824" t="s">
        <v>1599</v>
      </c>
      <c r="G824" t="s">
        <v>1606</v>
      </c>
      <c r="H824" s="5">
        <v>13</v>
      </c>
      <c r="J824">
        <v>350</v>
      </c>
      <c r="P824" s="6">
        <v>226</v>
      </c>
    </row>
    <row r="825" spans="1:16" x14ac:dyDescent="0.3">
      <c r="A825" s="6">
        <v>818</v>
      </c>
      <c r="B825" t="s">
        <v>1076</v>
      </c>
      <c r="C825" s="2" t="s">
        <v>1229</v>
      </c>
      <c r="D825" t="s">
        <v>15</v>
      </c>
      <c r="F825" t="s">
        <v>1599</v>
      </c>
      <c r="G825" t="s">
        <v>1606</v>
      </c>
      <c r="H825" s="5">
        <v>54</v>
      </c>
      <c r="J825">
        <v>350</v>
      </c>
      <c r="P825" s="6">
        <v>235</v>
      </c>
    </row>
    <row r="826" spans="1:16" x14ac:dyDescent="0.3">
      <c r="A826" s="6">
        <v>819</v>
      </c>
      <c r="B826" t="s">
        <v>1085</v>
      </c>
      <c r="D826" t="s">
        <v>208</v>
      </c>
      <c r="F826" t="s">
        <v>1599</v>
      </c>
      <c r="G826" t="s">
        <v>1606</v>
      </c>
      <c r="H826" s="5">
        <v>45</v>
      </c>
      <c r="J826">
        <v>360</v>
      </c>
      <c r="P826" s="6">
        <v>280</v>
      </c>
    </row>
    <row r="827" spans="1:16" x14ac:dyDescent="0.3">
      <c r="A827" s="6">
        <v>820</v>
      </c>
      <c r="B827" t="s">
        <v>74</v>
      </c>
      <c r="C827" s="2" t="s">
        <v>485</v>
      </c>
      <c r="D827" t="s">
        <v>15</v>
      </c>
      <c r="F827" t="s">
        <v>1599</v>
      </c>
      <c r="G827" t="s">
        <v>1606</v>
      </c>
      <c r="H827" s="5">
        <v>66</v>
      </c>
      <c r="J827">
        <v>60</v>
      </c>
      <c r="P827" s="6">
        <v>40</v>
      </c>
    </row>
    <row r="828" spans="1:16" x14ac:dyDescent="0.3">
      <c r="A828" s="6">
        <v>821</v>
      </c>
      <c r="B828" t="s">
        <v>1230</v>
      </c>
      <c r="C828" s="2" t="s">
        <v>1231</v>
      </c>
      <c r="D828" t="s">
        <v>15</v>
      </c>
      <c r="F828" t="s">
        <v>1599</v>
      </c>
      <c r="G828" t="s">
        <v>1606</v>
      </c>
      <c r="H828" s="5">
        <v>45</v>
      </c>
      <c r="J828">
        <v>85</v>
      </c>
      <c r="P828" s="6">
        <v>58</v>
      </c>
    </row>
    <row r="829" spans="1:16" x14ac:dyDescent="0.3">
      <c r="A829" s="6">
        <v>822</v>
      </c>
      <c r="B829" t="s">
        <v>1232</v>
      </c>
      <c r="D829" t="s">
        <v>18</v>
      </c>
      <c r="F829" t="s">
        <v>1599</v>
      </c>
      <c r="G829" t="s">
        <v>1606</v>
      </c>
      <c r="H829" s="5">
        <v>5</v>
      </c>
      <c r="J829">
        <v>360</v>
      </c>
      <c r="P829" s="6">
        <v>276</v>
      </c>
    </row>
    <row r="830" spans="1:16" x14ac:dyDescent="0.3">
      <c r="A830" s="6">
        <v>823</v>
      </c>
      <c r="B830" t="s">
        <v>1233</v>
      </c>
      <c r="C830" s="2" t="s">
        <v>1256</v>
      </c>
      <c r="D830" t="s">
        <v>15</v>
      </c>
      <c r="F830" t="s">
        <v>1599</v>
      </c>
      <c r="G830" t="s">
        <v>1606</v>
      </c>
      <c r="H830" s="5">
        <v>158</v>
      </c>
      <c r="J830">
        <v>140</v>
      </c>
      <c r="P830" s="6">
        <v>120</v>
      </c>
    </row>
    <row r="831" spans="1:16" x14ac:dyDescent="0.3">
      <c r="A831" s="6">
        <v>824</v>
      </c>
      <c r="B831" t="s">
        <v>1234</v>
      </c>
      <c r="D831" t="s">
        <v>15</v>
      </c>
      <c r="F831" t="s">
        <v>1599</v>
      </c>
      <c r="G831" t="s">
        <v>1606</v>
      </c>
      <c r="H831" s="5">
        <v>190</v>
      </c>
      <c r="J831">
        <v>32</v>
      </c>
      <c r="P831" s="6">
        <v>24</v>
      </c>
    </row>
    <row r="832" spans="1:16" x14ac:dyDescent="0.3">
      <c r="A832" s="6">
        <v>825</v>
      </c>
      <c r="B832" t="s">
        <v>1235</v>
      </c>
      <c r="D832" t="s">
        <v>15</v>
      </c>
      <c r="F832" t="s">
        <v>1599</v>
      </c>
      <c r="G832" t="s">
        <v>1606</v>
      </c>
      <c r="H832" s="5">
        <v>4</v>
      </c>
      <c r="J832">
        <v>140</v>
      </c>
      <c r="P832" s="6">
        <v>110</v>
      </c>
    </row>
    <row r="833" spans="1:16" x14ac:dyDescent="0.3">
      <c r="A833" s="6">
        <v>826</v>
      </c>
      <c r="B833" t="s">
        <v>1236</v>
      </c>
      <c r="C833" s="2" t="s">
        <v>1237</v>
      </c>
      <c r="D833" t="s">
        <v>15</v>
      </c>
      <c r="F833" t="s">
        <v>1599</v>
      </c>
      <c r="G833" t="s">
        <v>1606</v>
      </c>
      <c r="H833" s="5">
        <v>30</v>
      </c>
      <c r="J833">
        <v>80</v>
      </c>
      <c r="P833" s="6">
        <v>65</v>
      </c>
    </row>
    <row r="834" spans="1:16" x14ac:dyDescent="0.3">
      <c r="A834" s="6">
        <v>827</v>
      </c>
      <c r="B834" t="s">
        <v>949</v>
      </c>
      <c r="C834" s="2" t="s">
        <v>1238</v>
      </c>
      <c r="D834" t="s">
        <v>15</v>
      </c>
      <c r="F834" t="s">
        <v>1599</v>
      </c>
      <c r="G834" t="s">
        <v>1606</v>
      </c>
      <c r="H834" s="5">
        <v>33</v>
      </c>
      <c r="J834">
        <v>90</v>
      </c>
      <c r="P834" s="6">
        <v>70</v>
      </c>
    </row>
    <row r="835" spans="1:16" x14ac:dyDescent="0.3">
      <c r="A835" s="6">
        <v>828</v>
      </c>
      <c r="B835" t="s">
        <v>1240</v>
      </c>
      <c r="C835" s="2" t="s">
        <v>1239</v>
      </c>
      <c r="D835" t="s">
        <v>15</v>
      </c>
      <c r="F835" t="s">
        <v>1599</v>
      </c>
      <c r="G835" t="s">
        <v>1606</v>
      </c>
      <c r="H835" s="5">
        <v>128</v>
      </c>
      <c r="J835">
        <v>35</v>
      </c>
      <c r="P835" s="6">
        <v>24</v>
      </c>
    </row>
    <row r="836" spans="1:16" x14ac:dyDescent="0.3">
      <c r="A836" s="6">
        <v>829</v>
      </c>
      <c r="B836" t="s">
        <v>949</v>
      </c>
      <c r="C836" s="2" t="s">
        <v>951</v>
      </c>
      <c r="D836" t="s">
        <v>15</v>
      </c>
      <c r="F836" t="s">
        <v>1599</v>
      </c>
      <c r="G836" t="s">
        <v>1606</v>
      </c>
      <c r="H836" s="5">
        <v>53</v>
      </c>
      <c r="J836">
        <v>100</v>
      </c>
      <c r="P836" s="6">
        <v>78</v>
      </c>
    </row>
    <row r="837" spans="1:16" x14ac:dyDescent="0.3">
      <c r="A837" s="6">
        <v>830</v>
      </c>
      <c r="B837" t="s">
        <v>736</v>
      </c>
      <c r="C837" s="2" t="s">
        <v>1241</v>
      </c>
      <c r="D837" t="s">
        <v>15</v>
      </c>
      <c r="F837" t="s">
        <v>1599</v>
      </c>
      <c r="G837" t="s">
        <v>1606</v>
      </c>
      <c r="H837" s="5">
        <v>287</v>
      </c>
      <c r="J837">
        <v>35</v>
      </c>
      <c r="P837" s="6">
        <v>26</v>
      </c>
    </row>
    <row r="838" spans="1:16" x14ac:dyDescent="0.3">
      <c r="A838" s="6">
        <v>831</v>
      </c>
      <c r="B838" t="s">
        <v>1243</v>
      </c>
      <c r="C838" s="2">
        <v>1004</v>
      </c>
      <c r="F838" t="s">
        <v>1599</v>
      </c>
      <c r="G838" t="s">
        <v>1606</v>
      </c>
      <c r="H838" s="5">
        <v>4</v>
      </c>
      <c r="J838">
        <v>75</v>
      </c>
      <c r="P838" s="6">
        <v>56</v>
      </c>
    </row>
    <row r="839" spans="1:16" x14ac:dyDescent="0.3">
      <c r="A839" s="6">
        <v>832</v>
      </c>
      <c r="B839" t="s">
        <v>1244</v>
      </c>
      <c r="C839" s="2" t="s">
        <v>1245</v>
      </c>
      <c r="D839" t="s">
        <v>208</v>
      </c>
      <c r="F839" t="s">
        <v>1599</v>
      </c>
      <c r="G839" t="s">
        <v>1606</v>
      </c>
      <c r="H839" s="5">
        <v>12</v>
      </c>
      <c r="J839">
        <v>420</v>
      </c>
      <c r="P839" s="6">
        <v>210</v>
      </c>
    </row>
    <row r="840" spans="1:16" x14ac:dyDescent="0.3">
      <c r="A840" s="6">
        <v>833</v>
      </c>
      <c r="B840" t="s">
        <v>313</v>
      </c>
      <c r="C840" s="2" t="s">
        <v>1246</v>
      </c>
      <c r="D840" t="s">
        <v>15</v>
      </c>
      <c r="F840" t="s">
        <v>1599</v>
      </c>
      <c r="G840" t="s">
        <v>1606</v>
      </c>
      <c r="H840" s="5">
        <v>11</v>
      </c>
      <c r="J840">
        <v>160</v>
      </c>
      <c r="P840" s="6">
        <v>96</v>
      </c>
    </row>
    <row r="841" spans="1:16" x14ac:dyDescent="0.3">
      <c r="A841" s="6">
        <v>834</v>
      </c>
      <c r="B841" t="s">
        <v>496</v>
      </c>
      <c r="C841" s="2" t="s">
        <v>1247</v>
      </c>
      <c r="D841" t="s">
        <v>15</v>
      </c>
      <c r="F841" t="s">
        <v>1599</v>
      </c>
      <c r="G841" t="s">
        <v>1606</v>
      </c>
      <c r="H841" s="5">
        <v>3</v>
      </c>
      <c r="J841">
        <v>250</v>
      </c>
      <c r="P841" s="6">
        <v>175</v>
      </c>
    </row>
    <row r="842" spans="1:16" x14ac:dyDescent="0.3">
      <c r="A842" s="6">
        <v>835</v>
      </c>
      <c r="B842" t="s">
        <v>1248</v>
      </c>
      <c r="C842" s="2" t="s">
        <v>1249</v>
      </c>
      <c r="D842" t="s">
        <v>15</v>
      </c>
      <c r="F842" t="s">
        <v>1599</v>
      </c>
      <c r="G842" t="s">
        <v>1606</v>
      </c>
      <c r="H842" s="5">
        <v>37</v>
      </c>
      <c r="J842">
        <v>70</v>
      </c>
      <c r="P842" s="6">
        <v>52</v>
      </c>
    </row>
    <row r="843" spans="1:16" x14ac:dyDescent="0.3">
      <c r="A843" s="6">
        <v>836</v>
      </c>
      <c r="B843" t="s">
        <v>1250</v>
      </c>
      <c r="C843" s="2" t="s">
        <v>1253</v>
      </c>
      <c r="D843" t="s">
        <v>15</v>
      </c>
      <c r="F843" t="s">
        <v>1599</v>
      </c>
      <c r="G843" t="s">
        <v>1606</v>
      </c>
      <c r="H843" s="5">
        <v>200</v>
      </c>
      <c r="J843">
        <v>110</v>
      </c>
      <c r="P843" s="6">
        <v>78</v>
      </c>
    </row>
    <row r="844" spans="1:16" x14ac:dyDescent="0.3">
      <c r="A844" s="6">
        <v>837</v>
      </c>
      <c r="B844" t="s">
        <v>1251</v>
      </c>
      <c r="C844" s="2" t="s">
        <v>1252</v>
      </c>
      <c r="D844" t="s">
        <v>15</v>
      </c>
      <c r="F844" t="s">
        <v>1599</v>
      </c>
      <c r="G844" t="s">
        <v>1606</v>
      </c>
      <c r="H844" s="5">
        <v>70</v>
      </c>
      <c r="J844">
        <v>180</v>
      </c>
      <c r="P844" s="6">
        <v>169</v>
      </c>
    </row>
    <row r="845" spans="1:16" x14ac:dyDescent="0.3">
      <c r="A845" s="6">
        <v>838</v>
      </c>
      <c r="B845" t="s">
        <v>1254</v>
      </c>
      <c r="C845" s="2" t="s">
        <v>1255</v>
      </c>
      <c r="F845" t="s">
        <v>1599</v>
      </c>
      <c r="G845" t="s">
        <v>1606</v>
      </c>
      <c r="H845" s="5">
        <v>130</v>
      </c>
      <c r="J845">
        <v>30</v>
      </c>
      <c r="P845" s="6">
        <v>24</v>
      </c>
    </row>
  </sheetData>
  <conditionalFormatting sqref="B1093:C1093">
    <cfRule type="expression" dxfId="4" priority="7">
      <formula>SEARCH($B$10,$A1095&amp;#REF!&amp;#REF!&amp;$C1093&amp;$B1093&amp;$H1095&amp;$I1095&amp;$J1095&amp;$K1095&amp;$L1095&amp;$M1095&amp;$N1095&amp;$O1095&amp;$P1095&amp;$Q1095&amp;$R1095&amp;$S1095&amp;$T1095&amp;$U1095&amp;$V1095&amp;$W1095)</formula>
    </cfRule>
  </conditionalFormatting>
  <conditionalFormatting sqref="B1094:C1094">
    <cfRule type="expression" dxfId="3" priority="11">
      <formula>SEARCH($B$10,#REF!&amp;#REF!&amp;#REF!&amp;$C1094&amp;$B1094&amp;#REF!&amp;#REF!&amp;#REF!&amp;#REF!&amp;#REF!&amp;#REF!&amp;#REF!&amp;#REF!&amp;#REF!&amp;#REF!&amp;#REF!&amp;#REF!&amp;#REF!&amp;#REF!&amp;#REF!&amp;#REF!)</formula>
    </cfRule>
  </conditionalFormatting>
  <conditionalFormatting sqref="B1095:C1095">
    <cfRule type="expression" dxfId="2" priority="10">
      <formula>SEARCH($B$10,$A1096&amp;#REF!&amp;#REF!&amp;$C1095&amp;$B1095&amp;$H1096&amp;$I1096&amp;$J1096&amp;$K1096&amp;$L1096&amp;$M1096&amp;$N1096&amp;$O1096&amp;$P1096&amp;$Q1096&amp;$R1096&amp;$S1096&amp;$T1096&amp;$U1096&amp;$V1096&amp;$W1096)</formula>
    </cfRule>
  </conditionalFormatting>
  <conditionalFormatting sqref="H1090 H995:H1014">
    <cfRule type="expression" dxfId="1" priority="4">
      <formula>SEARCH(#REF!,$J995&amp;$K995&amp;$L995&amp;$M995&amp;$N995&amp;$O995&amp;$P995&amp;$Q995&amp;$R995&amp;$S995&amp;$T995&amp;$U995&amp;$V995&amp;$W995)</formula>
    </cfRule>
  </conditionalFormatting>
  <conditionalFormatting sqref="H1093:H1120 J1093:J1095">
    <cfRule type="expression" dxfId="0" priority="2">
      <formula>SEARCH($B$10,$A1093&amp;$B1093&amp;$C1093&amp;$D1093&amp;$E1093&amp;$H1093&amp;$I1093&amp;$J1093&amp;$K1093&amp;$L1093&amp;$M1093&amp;$N1093&amp;$O1093&amp;$P1093&amp;$Q1093&amp;$R1093&amp;$S1093&amp;$T1093&amp;$U1093&amp;$V1093&amp;$W1093)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landscape" verticalDpi="0" r:id="rId1"/>
  <headerFooter>
    <oddFooter>&amp;R&amp;Z&amp;F</oddFooter>
  </headerFooter>
  <ignoredErrors>
    <ignoredError sqref="C42:C43 C140 C170 C197 C232 C241 C247 C284 C422 C704:C705 C761 C789 C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STOCK </vt:lpstr>
      <vt:lpstr>Sheet2</vt:lpstr>
      <vt:lpstr>Sheet3</vt:lpstr>
      <vt:lpstr>'STOCK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2026-07-22T12:11:04Z</dcterms:modified>
</cp:coreProperties>
</file>